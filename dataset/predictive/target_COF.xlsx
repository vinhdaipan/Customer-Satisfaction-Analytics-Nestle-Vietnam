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Profile\Portfolio\Nestle\"/>
    </mc:Choice>
  </mc:AlternateContent>
  <xr:revisionPtr revIDLastSave="0" documentId="13_ncr:1_{968AE79F-1A25-4E00-971F-BB702C59628F}" xr6:coauthVersionLast="47" xr6:coauthVersionMax="47" xr10:uidLastSave="{00000000-0000-0000-0000-000000000000}"/>
  <bookViews>
    <workbookView xWindow="-108" yWindow="-108" windowWidth="23256" windowHeight="12456" xr2:uid="{6E111584-9127-4ABA-B76B-5DAC3FE52BCE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2" l="1"/>
  <c r="E18" i="2" s="1"/>
  <c r="D8" i="2"/>
  <c r="D9" i="2"/>
  <c r="D10" i="2" s="1"/>
  <c r="D7" i="2"/>
  <c r="E7" i="2"/>
  <c r="E8" i="2"/>
  <c r="E6" i="2"/>
  <c r="B5" i="2"/>
  <c r="A5" i="2"/>
  <c r="E3" i="2"/>
  <c r="E2" i="2"/>
  <c r="D6" i="2"/>
  <c r="D11" i="2" l="1"/>
  <c r="E10" i="2"/>
  <c r="E9" i="2"/>
  <c r="E11" i="2" l="1"/>
  <c r="D12" i="2"/>
  <c r="E12" i="2" l="1"/>
  <c r="D13" i="2"/>
  <c r="E13" i="2" l="1"/>
  <c r="D14" i="2"/>
  <c r="E14" i="2" l="1"/>
  <c r="D15" i="2"/>
  <c r="D16" i="2" l="1"/>
  <c r="E15" i="2"/>
  <c r="D17" i="2" l="1"/>
  <c r="E17" i="2" s="1"/>
  <c r="E16" i="2"/>
</calcChain>
</file>

<file path=xl/sharedStrings.xml><?xml version="1.0" encoding="utf-8"?>
<sst xmlns="http://schemas.openxmlformats.org/spreadsheetml/2006/main" count="5" uniqueCount="5">
  <si>
    <t>COF</t>
  </si>
  <si>
    <t>date</t>
  </si>
  <si>
    <t>case_fail</t>
  </si>
  <si>
    <t>7083*r^12=20 =&gt; r=0.61315, where 12 is number of month to hit target</t>
  </si>
  <si>
    <t>85.000 cases in 2025 =&gt; 7083 cases per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</si>
</sst>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2" fontId="0" fillId="0" borderId="0" xfId="0" applyNumberFormat="1"/>
    <xf numFmtId="10" fontId="0" fillId="0" borderId="0" xfId="1" applyNumberFormat="1" applyFont="1"/>
    <xf numFmtId="1" fontId="0" fillId="0" borderId="1" xfId="0" applyNumberFormat="1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0" fontId="0" fillId="3" borderId="0" xfId="0" applyFill="1"/>
    <xf numFmtId="0" fontId="0" fillId="2" borderId="0" xfId="0" quotePrefix="1" applyFill="1" applyAlignment="1">
      <alignment wrapText="1"/>
    </xf>
    <xf numFmtId="0" fontId="2" fillId="3" borderId="0" xfId="0" applyFont="1" applyFill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ACB9-6CF8-4E1C-9BC7-148FE6AF8619}">
  <dimension ref="A1:E18"/>
  <sheetViews>
    <sheetView tabSelected="1" workbookViewId="0">
      <selection activeCell="G4" sqref="G4"/>
    </sheetView>
  </sheetViews>
  <sheetFormatPr defaultRowHeight="14.4" x14ac:dyDescent="0.3"/>
  <cols>
    <col min="3" max="5" width="30.77734375" customWidth="1"/>
  </cols>
  <sheetData>
    <row r="1" spans="1:5" x14ac:dyDescent="0.3">
      <c r="A1" s="1">
        <v>1.3080000000000001</v>
      </c>
      <c r="B1" s="1">
        <v>-4.9000000000000002E-2</v>
      </c>
      <c r="C1" t="s">
        <v>1</v>
      </c>
      <c r="D1" s="2" t="s">
        <v>2</v>
      </c>
      <c r="E1" s="2" t="s">
        <v>0</v>
      </c>
    </row>
    <row r="2" spans="1:5" x14ac:dyDescent="0.3">
      <c r="C2">
        <v>2025</v>
      </c>
      <c r="D2">
        <v>85000</v>
      </c>
      <c r="E2" s="3">
        <f>$A$1*D2^$B$1</f>
        <v>0.75000855398525834</v>
      </c>
    </row>
    <row r="3" spans="1:5" x14ac:dyDescent="0.3">
      <c r="C3">
        <v>2026</v>
      </c>
      <c r="D3">
        <v>240</v>
      </c>
      <c r="E3" s="3">
        <f>$A$1*D3^$B$1</f>
        <v>0.99994794714604618</v>
      </c>
    </row>
    <row r="5" spans="1:5" ht="28.8" x14ac:dyDescent="0.3">
      <c r="A5" s="1">
        <f>A1*12^B1</f>
        <v>1.1580514719795427</v>
      </c>
      <c r="B5" s="1">
        <f>B1</f>
        <v>-4.9000000000000002E-2</v>
      </c>
      <c r="C5" s="8" t="s">
        <v>4</v>
      </c>
      <c r="D5" s="7" t="s">
        <v>3</v>
      </c>
      <c r="E5" s="6"/>
    </row>
    <row r="6" spans="1:5" x14ac:dyDescent="0.3">
      <c r="C6" s="4">
        <v>45992</v>
      </c>
      <c r="D6" s="4">
        <f>85000/12</f>
        <v>7083.333333333333</v>
      </c>
      <c r="E6" s="5">
        <f>$A$5*D6^$B$5</f>
        <v>0.75000855398525823</v>
      </c>
    </row>
    <row r="7" spans="1:5" x14ac:dyDescent="0.3">
      <c r="C7" s="4">
        <v>46023</v>
      </c>
      <c r="D7" s="4">
        <f>D6*0.61315^1</f>
        <v>4343.145833333333</v>
      </c>
      <c r="E7" s="5">
        <f t="shared" ref="E7:E18" si="0">$A$5*D7^$B$5</f>
        <v>0.76820202338855126</v>
      </c>
    </row>
    <row r="8" spans="1:5" x14ac:dyDescent="0.3">
      <c r="C8" s="4">
        <v>46054</v>
      </c>
      <c r="D8" s="4">
        <f t="shared" ref="D8:D17" si="1">D7*0.61315^1</f>
        <v>2662.9998677083331</v>
      </c>
      <c r="E8" s="5">
        <f t="shared" si="0"/>
        <v>0.78683682419689271</v>
      </c>
    </row>
    <row r="9" spans="1:5" x14ac:dyDescent="0.3">
      <c r="C9" s="4">
        <v>46082</v>
      </c>
      <c r="D9" s="4">
        <f t="shared" si="1"/>
        <v>1632.8183688853644</v>
      </c>
      <c r="E9" s="5">
        <f t="shared" si="0"/>
        <v>0.80592366208739996</v>
      </c>
    </row>
    <row r="10" spans="1:5" x14ac:dyDescent="0.3">
      <c r="C10" s="4">
        <v>46113</v>
      </c>
      <c r="D10" s="4">
        <f t="shared" si="1"/>
        <v>1001.1625828820611</v>
      </c>
      <c r="E10" s="5">
        <f t="shared" si="0"/>
        <v>0.82547350243210793</v>
      </c>
    </row>
    <row r="11" spans="1:5" x14ac:dyDescent="0.3">
      <c r="C11" s="4">
        <v>46143</v>
      </c>
      <c r="D11" s="4">
        <f t="shared" si="1"/>
        <v>613.86283769413569</v>
      </c>
      <c r="E11" s="5">
        <f t="shared" si="0"/>
        <v>0.84549757659756464</v>
      </c>
    </row>
    <row r="12" spans="1:5" x14ac:dyDescent="0.3">
      <c r="C12" s="4">
        <v>46174</v>
      </c>
      <c r="D12" s="4">
        <f t="shared" si="1"/>
        <v>376.3899989321593</v>
      </c>
      <c r="E12" s="5">
        <f t="shared" si="0"/>
        <v>0.86600738839724256</v>
      </c>
    </row>
    <row r="13" spans="1:5" x14ac:dyDescent="0.3">
      <c r="C13" s="4">
        <v>46204</v>
      </c>
      <c r="D13" s="4">
        <f t="shared" si="1"/>
        <v>230.78352784525347</v>
      </c>
      <c r="E13" s="5">
        <f t="shared" si="0"/>
        <v>0.88701472070046938</v>
      </c>
    </row>
    <row r="14" spans="1:5" x14ac:dyDescent="0.3">
      <c r="C14" s="4">
        <v>46235</v>
      </c>
      <c r="D14" s="4">
        <f t="shared" si="1"/>
        <v>141.50492009831717</v>
      </c>
      <c r="E14" s="5">
        <f t="shared" si="0"/>
        <v>0.90853164220167648</v>
      </c>
    </row>
    <row r="15" spans="1:5" x14ac:dyDescent="0.3">
      <c r="C15" s="4">
        <v>46266</v>
      </c>
      <c r="D15" s="4">
        <f t="shared" si="1"/>
        <v>86.763741758283174</v>
      </c>
      <c r="E15" s="5">
        <f t="shared" si="0"/>
        <v>0.93057051435385274</v>
      </c>
    </row>
    <row r="16" spans="1:5" x14ac:dyDescent="0.3">
      <c r="C16" s="4">
        <v>46296</v>
      </c>
      <c r="D16" s="4">
        <f t="shared" si="1"/>
        <v>53.199188259091329</v>
      </c>
      <c r="E16" s="5">
        <f t="shared" si="0"/>
        <v>0.95314399847019027</v>
      </c>
    </row>
    <row r="17" spans="3:5" x14ac:dyDescent="0.3">
      <c r="C17" s="4">
        <v>46327</v>
      </c>
      <c r="D17" s="4">
        <f t="shared" si="1"/>
        <v>32.61908228106185</v>
      </c>
      <c r="E17" s="5">
        <f t="shared" si="0"/>
        <v>0.97626506299799665</v>
      </c>
    </row>
    <row r="18" spans="3:5" x14ac:dyDescent="0.3">
      <c r="C18" s="4">
        <v>46357</v>
      </c>
      <c r="D18" s="4">
        <f>D17*0.61315^1</f>
        <v>20.000390300633072</v>
      </c>
      <c r="E18" s="5">
        <f t="shared" si="0"/>
        <v>0.99994699096905693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 Quang Vinh</dc:creator>
  <cp:lastModifiedBy>Dinh Quang Vinh</cp:lastModifiedBy>
  <dcterms:created xsi:type="dcterms:W3CDTF">2026-03-08T06:19:46Z</dcterms:created>
  <dcterms:modified xsi:type="dcterms:W3CDTF">2026-03-10T07:08:26Z</dcterms:modified>
</cp:coreProperties>
</file>