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6A1F59C0-8D02-4C25-946A-EDD3BB18056E}" xr6:coauthVersionLast="47" xr6:coauthVersionMax="47" xr10:uidLastSave="{00000000-0000-0000-0000-000000000000}"/>
  <bookViews>
    <workbookView xWindow="-108" yWindow="-108" windowWidth="23256" windowHeight="12456" xr2:uid="{909CBBD3-2FC9-416B-A347-A1C85E7F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D8" i="1"/>
  <c r="D9" i="1" s="1"/>
  <c r="D7" i="1"/>
  <c r="E7" i="1" s="1"/>
  <c r="E6" i="1"/>
  <c r="B5" i="1"/>
  <c r="A5" i="1"/>
  <c r="E3" i="1"/>
  <c r="E2" i="1"/>
  <c r="E9" i="1" l="1"/>
  <c r="D10" i="1"/>
  <c r="E8" i="1"/>
  <c r="E10" i="1" l="1"/>
  <c r="D11" i="1"/>
  <c r="E11" i="1" l="1"/>
  <c r="D12" i="1"/>
  <c r="E12" i="1" l="1"/>
  <c r="D13" i="1"/>
  <c r="E13" i="1" l="1"/>
  <c r="D14" i="1"/>
  <c r="E14" i="1" l="1"/>
  <c r="D15" i="1"/>
  <c r="D16" i="1" l="1"/>
  <c r="E15" i="1"/>
  <c r="D17" i="1" l="1"/>
  <c r="E17" i="1" s="1"/>
  <c r="E16" i="1"/>
</calcChain>
</file>

<file path=xl/sharedStrings.xml><?xml version="1.0" encoding="utf-8"?>
<sst xmlns="http://schemas.openxmlformats.org/spreadsheetml/2006/main" count="7" uniqueCount="7">
  <si>
    <t>a</t>
  </si>
  <si>
    <t>b</t>
  </si>
  <si>
    <t>date</t>
  </si>
  <si>
    <t>case_lost</t>
  </si>
  <si>
    <t>in month</t>
  </si>
  <si>
    <t>in_full</t>
  </si>
  <si>
    <t>200*r^12=2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</si>
</sst>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7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C73C-4CF9-4FEA-87A8-D157A1CBAB75}">
  <dimension ref="A1:F18"/>
  <sheetViews>
    <sheetView tabSelected="1" workbookViewId="0">
      <selection activeCell="I6" sqref="I6"/>
    </sheetView>
  </sheetViews>
  <sheetFormatPr defaultRowHeight="14.4" x14ac:dyDescent="0.3"/>
  <cols>
    <col min="3" max="3" width="14.77734375" customWidth="1"/>
    <col min="4" max="4" width="16.21875" customWidth="1"/>
    <col min="5" max="5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6" x14ac:dyDescent="0.3">
      <c r="A2" s="1">
        <v>1.0135000000000001</v>
      </c>
      <c r="B2" s="1">
        <v>-4.3E-3</v>
      </c>
      <c r="C2" s="2">
        <v>46023</v>
      </c>
      <c r="D2">
        <v>2400</v>
      </c>
      <c r="E2" s="3">
        <f>$A$2*(D2^$B$2)</f>
        <v>0.9801416505742484</v>
      </c>
      <c r="F2" s="4"/>
    </row>
    <row r="3" spans="1:6" x14ac:dyDescent="0.3">
      <c r="C3" s="2"/>
      <c r="D3">
        <v>24</v>
      </c>
      <c r="E3" s="3">
        <f>$A$2*(D3^$B$2)</f>
        <v>0.99974408819043636</v>
      </c>
      <c r="F3" s="4"/>
    </row>
    <row r="4" spans="1:6" x14ac:dyDescent="0.3">
      <c r="A4" t="s">
        <v>4</v>
      </c>
      <c r="C4" s="2"/>
      <c r="E4" s="3"/>
      <c r="F4" s="4"/>
    </row>
    <row r="5" spans="1:6" x14ac:dyDescent="0.3">
      <c r="A5" s="1">
        <f>A2*(12^B2)</f>
        <v>1.0027283033798153</v>
      </c>
      <c r="B5" s="1">
        <f>B2</f>
        <v>-4.3E-3</v>
      </c>
      <c r="C5" s="2"/>
      <c r="D5" t="s">
        <v>6</v>
      </c>
      <c r="E5" s="3"/>
      <c r="F5" s="4"/>
    </row>
    <row r="6" spans="1:6" x14ac:dyDescent="0.3">
      <c r="C6" s="5">
        <v>45992</v>
      </c>
      <c r="D6" s="5">
        <v>200</v>
      </c>
      <c r="E6" s="3">
        <f>$A$5*D6^$B$5</f>
        <v>0.98014165057424851</v>
      </c>
      <c r="F6" s="4"/>
    </row>
    <row r="7" spans="1:6" x14ac:dyDescent="0.3">
      <c r="C7" s="5">
        <v>46023</v>
      </c>
      <c r="D7" s="5">
        <f>D6*0.6813^1</f>
        <v>136.26</v>
      </c>
      <c r="E7" s="3">
        <f t="shared" ref="E7:E18" si="0">$A$5*D7^$B$5</f>
        <v>0.98176035269753847</v>
      </c>
      <c r="F7" s="4"/>
    </row>
    <row r="8" spans="1:6" x14ac:dyDescent="0.3">
      <c r="C8" s="5">
        <v>46054</v>
      </c>
      <c r="D8" s="5">
        <f t="shared" ref="D8:D17" si="1">D7*0.6813^1</f>
        <v>92.833937999999989</v>
      </c>
      <c r="E8" s="3">
        <f t="shared" si="0"/>
        <v>0.98338172810439173</v>
      </c>
      <c r="F8" s="4"/>
    </row>
    <row r="9" spans="1:6" x14ac:dyDescent="0.3">
      <c r="C9" s="5">
        <v>46082</v>
      </c>
      <c r="D9" s="5">
        <f t="shared" si="1"/>
        <v>63.247761959399995</v>
      </c>
      <c r="E9" s="3">
        <f t="shared" si="0"/>
        <v>0.98500578120973059</v>
      </c>
      <c r="F9" s="4"/>
    </row>
    <row r="10" spans="1:6" x14ac:dyDescent="0.3">
      <c r="C10" s="5">
        <v>46113</v>
      </c>
      <c r="D10" s="5">
        <f t="shared" si="1"/>
        <v>43.090700222939219</v>
      </c>
      <c r="E10" s="3">
        <f t="shared" si="0"/>
        <v>0.98663251643576966</v>
      </c>
      <c r="F10" s="4"/>
    </row>
    <row r="11" spans="1:6" x14ac:dyDescent="0.3">
      <c r="C11" s="5">
        <v>46143</v>
      </c>
      <c r="D11" s="5">
        <f t="shared" si="1"/>
        <v>29.357694061888491</v>
      </c>
      <c r="E11" s="3">
        <f t="shared" si="0"/>
        <v>0.98826193821202601</v>
      </c>
      <c r="F11" s="4"/>
    </row>
    <row r="12" spans="1:6" x14ac:dyDescent="0.3">
      <c r="C12" s="5">
        <v>46174</v>
      </c>
      <c r="D12" s="5">
        <f t="shared" si="1"/>
        <v>20.001396964364631</v>
      </c>
      <c r="E12" s="3">
        <f t="shared" si="0"/>
        <v>0.98989405097533267</v>
      </c>
      <c r="F12" s="4"/>
    </row>
    <row r="13" spans="1:6" x14ac:dyDescent="0.3">
      <c r="C13" s="5">
        <v>46204</v>
      </c>
      <c r="D13" s="5">
        <f t="shared" si="1"/>
        <v>13.626951751821624</v>
      </c>
      <c r="E13" s="3">
        <f t="shared" si="0"/>
        <v>0.99152885916984945</v>
      </c>
      <c r="F13" s="4"/>
    </row>
    <row r="14" spans="1:6" x14ac:dyDescent="0.3">
      <c r="C14" s="5">
        <v>46235</v>
      </c>
      <c r="D14" s="5">
        <f t="shared" si="1"/>
        <v>9.2840422285160731</v>
      </c>
      <c r="E14" s="3">
        <f t="shared" si="0"/>
        <v>0.99316636724707597</v>
      </c>
    </row>
    <row r="15" spans="1:6" x14ac:dyDescent="0.3">
      <c r="C15" s="5">
        <v>46266</v>
      </c>
      <c r="D15" s="5">
        <f t="shared" si="1"/>
        <v>6.3252179702880005</v>
      </c>
      <c r="E15" s="3">
        <f t="shared" si="0"/>
        <v>0.99480657966586383</v>
      </c>
    </row>
    <row r="16" spans="1:6" x14ac:dyDescent="0.3">
      <c r="C16" s="5">
        <v>46296</v>
      </c>
      <c r="D16" s="5">
        <f t="shared" si="1"/>
        <v>4.3093710031572146</v>
      </c>
      <c r="E16" s="3">
        <f t="shared" si="0"/>
        <v>0.99644950089242812</v>
      </c>
    </row>
    <row r="17" spans="3:5" x14ac:dyDescent="0.3">
      <c r="C17" s="5">
        <v>46327</v>
      </c>
      <c r="D17" s="5">
        <f t="shared" si="1"/>
        <v>2.9359744644510104</v>
      </c>
      <c r="E17" s="3">
        <f t="shared" si="0"/>
        <v>0.99809513540035955</v>
      </c>
    </row>
    <row r="18" spans="3:5" x14ac:dyDescent="0.3">
      <c r="C18" s="5">
        <v>46357</v>
      </c>
      <c r="D18" s="5">
        <f>D17*0.6813^1</f>
        <v>2.0002794026304733</v>
      </c>
      <c r="E18" s="3">
        <f t="shared" si="0"/>
        <v>0.99974348767063748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2026-03-08T07:00:22Z</dcterms:created>
  <dcterms:modified xsi:type="dcterms:W3CDTF">2026-03-10T07:08:05Z</dcterms:modified>
</cp:coreProperties>
</file>