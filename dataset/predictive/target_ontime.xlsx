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file\Portfolio\Nestle\"/>
    </mc:Choice>
  </mc:AlternateContent>
  <xr:revisionPtr revIDLastSave="0" documentId="13_ncr:1_{285F300A-244B-4603-B46F-20878B2BCAD4}" xr6:coauthVersionLast="47" xr6:coauthVersionMax="47" xr10:uidLastSave="{00000000-0000-0000-0000-000000000000}"/>
  <bookViews>
    <workbookView xWindow="-108" yWindow="-108" windowWidth="23256" windowHeight="12456" xr2:uid="{CBE2A6AA-B744-4993-A0E7-097980224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 s="1"/>
  <c r="D7" i="1"/>
  <c r="E7" i="1" s="1"/>
  <c r="E6" i="1"/>
  <c r="A5" i="1"/>
  <c r="E8" i="1"/>
  <c r="B5" i="1"/>
  <c r="E3" i="1"/>
  <c r="E2" i="1"/>
  <c r="D10" i="1" l="1"/>
  <c r="E9" i="1"/>
  <c r="D11" i="1" l="1"/>
  <c r="E10" i="1"/>
  <c r="D12" i="1" l="1"/>
  <c r="E11" i="1"/>
  <c r="D13" i="1" l="1"/>
  <c r="E12" i="1"/>
  <c r="E13" i="1" l="1"/>
  <c r="D14" i="1"/>
  <c r="E14" i="1" l="1"/>
  <c r="D15" i="1"/>
  <c r="D16" i="1" l="1"/>
  <c r="E15" i="1"/>
  <c r="D17" i="1" l="1"/>
  <c r="E16" i="1"/>
  <c r="D18" i="1" l="1"/>
  <c r="E18" i="1" s="1"/>
  <c r="E17" i="1"/>
</calcChain>
</file>

<file path=xl/sharedStrings.xml><?xml version="1.0" encoding="utf-8"?>
<sst xmlns="http://schemas.openxmlformats.org/spreadsheetml/2006/main" count="6" uniqueCount="6">
  <si>
    <t>a</t>
  </si>
  <si>
    <t>b</t>
  </si>
  <si>
    <t>date</t>
  </si>
  <si>
    <t>case_lost</t>
  </si>
  <si>
    <t>on_time</t>
  </si>
  <si>
    <t>4167*r^12=10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</si>
</sst>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17" fontId="0" fillId="0" borderId="0" xfId="0" applyNumberFormat="1"/>
    <xf numFmtId="9" fontId="0" fillId="0" borderId="0" xfId="1" applyFont="1"/>
    <xf numFmtId="9" fontId="0" fillId="0" borderId="0" xfId="0" applyNumberFormat="1"/>
    <xf numFmtId="10" fontId="0" fillId="0" borderId="0" xfId="1" applyNumberFormat="1" applyFont="1"/>
    <xf numFmtId="0" fontId="0" fillId="0" borderId="0" xfId="0" quotePrefix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4695-4EBE-462F-B925-A08765C172F6}">
  <dimension ref="A1:F18"/>
  <sheetViews>
    <sheetView tabSelected="1" workbookViewId="0">
      <selection activeCell="I6" sqref="I6"/>
    </sheetView>
  </sheetViews>
  <sheetFormatPr defaultRowHeight="14.4" x14ac:dyDescent="0.3"/>
  <cols>
    <col min="3" max="3" width="14.6640625" customWidth="1"/>
    <col min="4" max="4" width="19.88671875" customWidth="1"/>
    <col min="5" max="5" width="19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s="1">
        <v>1.7330000000000001</v>
      </c>
      <c r="B2" s="1">
        <v>-0.115</v>
      </c>
      <c r="C2">
        <v>2025</v>
      </c>
      <c r="D2">
        <v>50000</v>
      </c>
      <c r="E2" s="5">
        <f>$A$2*D2^$B$2</f>
        <v>0.49936374945162237</v>
      </c>
      <c r="F2" s="4"/>
    </row>
    <row r="3" spans="1:6" x14ac:dyDescent="0.3">
      <c r="C3">
        <v>2026</v>
      </c>
      <c r="D3">
        <v>120</v>
      </c>
      <c r="E3" s="5">
        <f>$A$2*D3^$B$2</f>
        <v>0.99929271056071434</v>
      </c>
      <c r="F3" s="4"/>
    </row>
    <row r="4" spans="1:6" x14ac:dyDescent="0.3">
      <c r="C4" s="2"/>
      <c r="E4" s="3"/>
      <c r="F4" s="4"/>
    </row>
    <row r="5" spans="1:6" x14ac:dyDescent="0.3">
      <c r="A5" s="1">
        <f>A2*12^B2</f>
        <v>1.3022450623522723</v>
      </c>
      <c r="B5" s="1">
        <f>B2</f>
        <v>-0.115</v>
      </c>
      <c r="C5" s="2"/>
      <c r="D5" s="6" t="s">
        <v>5</v>
      </c>
      <c r="E5" s="3"/>
      <c r="F5" s="4"/>
    </row>
    <row r="6" spans="1:6" x14ac:dyDescent="0.3">
      <c r="C6" s="7">
        <v>45992</v>
      </c>
      <c r="D6" s="7">
        <v>4167</v>
      </c>
      <c r="E6" s="5">
        <f>$A$5*D6^$B$5</f>
        <v>0.49935915551001492</v>
      </c>
      <c r="F6" s="4"/>
    </row>
    <row r="7" spans="1:6" x14ac:dyDescent="0.3">
      <c r="C7" s="7">
        <v>46023</v>
      </c>
      <c r="D7" s="7">
        <f>D6*0.6049^1</f>
        <v>2520.6183000000001</v>
      </c>
      <c r="E7" s="5">
        <f t="shared" ref="E7:E18" si="0">$A$5*D7^$B$5</f>
        <v>0.52907763632108085</v>
      </c>
      <c r="F7" s="4"/>
    </row>
    <row r="8" spans="1:6" x14ac:dyDescent="0.3">
      <c r="C8" s="7">
        <v>46054</v>
      </c>
      <c r="D8" s="7">
        <f t="shared" ref="D8:D18" si="1">D7*0.6049^1</f>
        <v>1524.72200967</v>
      </c>
      <c r="E8" s="5">
        <f t="shared" si="0"/>
        <v>0.56056476018589363</v>
      </c>
      <c r="F8" s="4"/>
    </row>
    <row r="9" spans="1:6" x14ac:dyDescent="0.3">
      <c r="C9" s="7">
        <v>46082</v>
      </c>
      <c r="D9" s="7">
        <f t="shared" si="1"/>
        <v>922.30434364938299</v>
      </c>
      <c r="E9" s="5">
        <f t="shared" si="0"/>
        <v>0.59392578478136671</v>
      </c>
      <c r="F9" s="4"/>
    </row>
    <row r="10" spans="1:6" x14ac:dyDescent="0.3">
      <c r="C10" s="7">
        <v>46113</v>
      </c>
      <c r="D10" s="7">
        <f t="shared" si="1"/>
        <v>557.90189747351178</v>
      </c>
      <c r="E10" s="5">
        <f t="shared" si="0"/>
        <v>0.62927223200970495</v>
      </c>
      <c r="F10" s="4"/>
    </row>
    <row r="11" spans="1:6" x14ac:dyDescent="0.3">
      <c r="C11" s="7">
        <v>46143</v>
      </c>
      <c r="D11" s="7">
        <f t="shared" si="1"/>
        <v>337.47485778172728</v>
      </c>
      <c r="E11" s="5">
        <f t="shared" si="0"/>
        <v>0.66672226080274266</v>
      </c>
      <c r="F11" s="4"/>
    </row>
    <row r="12" spans="1:6" x14ac:dyDescent="0.3">
      <c r="C12" s="7">
        <v>46174</v>
      </c>
      <c r="D12" s="7">
        <f t="shared" si="1"/>
        <v>204.13854147216682</v>
      </c>
      <c r="E12" s="5">
        <f t="shared" si="0"/>
        <v>0.70640106211307419</v>
      </c>
      <c r="F12" s="4"/>
    </row>
    <row r="13" spans="1:6" x14ac:dyDescent="0.3">
      <c r="C13" s="7">
        <v>46204</v>
      </c>
      <c r="D13" s="7">
        <f t="shared" si="1"/>
        <v>123.48340373651371</v>
      </c>
      <c r="E13" s="5">
        <f t="shared" si="0"/>
        <v>0.74844127741238675</v>
      </c>
      <c r="F13" s="4"/>
    </row>
    <row r="14" spans="1:6" x14ac:dyDescent="0.3">
      <c r="C14" s="7">
        <v>46235</v>
      </c>
      <c r="D14" s="7">
        <f t="shared" si="1"/>
        <v>74.695110920217147</v>
      </c>
      <c r="E14" s="5">
        <f t="shared" si="0"/>
        <v>0.79298344209598515</v>
      </c>
    </row>
    <row r="15" spans="1:6" x14ac:dyDescent="0.3">
      <c r="C15" s="7">
        <v>46266</v>
      </c>
      <c r="D15" s="7">
        <f t="shared" si="1"/>
        <v>45.183072595639352</v>
      </c>
      <c r="E15" s="5">
        <f t="shared" si="0"/>
        <v>0.84017645527575424</v>
      </c>
    </row>
    <row r="16" spans="1:6" x14ac:dyDescent="0.3">
      <c r="C16" s="7">
        <v>46296</v>
      </c>
      <c r="D16" s="7">
        <f t="shared" si="1"/>
        <v>27.331240613102242</v>
      </c>
      <c r="E16" s="5">
        <f t="shared" si="0"/>
        <v>0.89017807753202449</v>
      </c>
    </row>
    <row r="17" spans="3:5" x14ac:dyDescent="0.3">
      <c r="C17" s="7">
        <v>46327</v>
      </c>
      <c r="D17" s="7">
        <f t="shared" si="1"/>
        <v>16.532667446865545</v>
      </c>
      <c r="E17" s="5">
        <f t="shared" si="0"/>
        <v>0.94315545828826153</v>
      </c>
    </row>
    <row r="18" spans="3:5" x14ac:dyDescent="0.3">
      <c r="C18" s="7">
        <v>46357</v>
      </c>
      <c r="D18" s="7">
        <f t="shared" si="1"/>
        <v>10.000610538608969</v>
      </c>
      <c r="E18" s="5">
        <f t="shared" si="0"/>
        <v>0.9992856945715326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Quang Vinh</dc:creator>
  <cp:lastModifiedBy>Dinh Quang Vinh</cp:lastModifiedBy>
  <dcterms:created xsi:type="dcterms:W3CDTF">2026-03-08T06:48:34Z</dcterms:created>
  <dcterms:modified xsi:type="dcterms:W3CDTF">2026-03-10T07:08:40Z</dcterms:modified>
</cp:coreProperties>
</file>