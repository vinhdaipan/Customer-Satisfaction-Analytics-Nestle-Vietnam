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13_ncr:1_{175C2A85-398C-4EB2-9DB8-4B8E514EB43A}" xr6:coauthVersionLast="47" xr6:coauthVersionMax="47" xr10:uidLastSave="{00000000-0000-0000-0000-000000000000}"/>
  <bookViews>
    <workbookView xWindow="-108" yWindow="-108" windowWidth="23256" windowHeight="12456" activeTab="2" xr2:uid="{6B811672-5E21-4B9E-9AD2-096F64C448F4}"/>
  </bookViews>
  <sheets>
    <sheet name="3PL_in_percentage" sheetId="10" r:id="rId1"/>
    <sheet name="3PL_performance" sheetId="5" r:id="rId2"/>
    <sheet name="Optimial" sheetId="11" r:id="rId3"/>
  </sheets>
  <definedNames>
    <definedName name="ExternalData_4" localSheetId="1" hidden="1">'3PL_performance'!$A$3:$F$12</definedName>
    <definedName name="ExternalData_5" localSheetId="0" hidden="1">'3PL_in_percentage'!$A$1:$D$10</definedName>
    <definedName name="ExternalData_5" localSheetId="2" hidden="1">Optimial!$B$5:$G$14</definedName>
    <definedName name="solver_adj" localSheetId="2" hidden="1">Optimial!$C$21:$C$29,Optimial!$F$21:$F$29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Optimial!$D$67:$D$68</definedName>
    <definedName name="solver_lhs2" localSheetId="2" hidden="1">Optimial!$D$67:$D$68</definedName>
    <definedName name="solver_lhs3" localSheetId="2" hidden="1">Optimial!$D$92:$D$93</definedName>
    <definedName name="solver_lhs4" localSheetId="2" hidden="1">Optimial!$F$78:$F$86</definedName>
    <definedName name="solver_lhs5" localSheetId="2" hidden="1">Optimial!$F$78:$F$86</definedName>
    <definedName name="solver_lhs6" localSheetId="2" hidden="1">Optimial!#REF!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4</definedName>
    <definedName name="solver_nwt" localSheetId="2" hidden="1">1</definedName>
    <definedName name="solver_opt" localSheetId="2" hidden="1">Optimial!$D$58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el3" localSheetId="2" hidden="1">2</definedName>
    <definedName name="solver_rel4" localSheetId="2" hidden="1">3</definedName>
    <definedName name="solver_rel5" localSheetId="2" hidden="1">3</definedName>
    <definedName name="solver_rel6" localSheetId="2" hidden="1">5</definedName>
    <definedName name="solver_rhs1" localSheetId="2" hidden="1">Optimial!$F$67:$F$68</definedName>
    <definedName name="solver_rhs2" localSheetId="2" hidden="1">Optimial!$E$67:$E$68</definedName>
    <definedName name="solver_rhs3" localSheetId="2" hidden="1">Optimial!$E$92:$E$93</definedName>
    <definedName name="solver_rhs4" localSheetId="2" hidden="1">Optimial!$G$78:$G$86</definedName>
    <definedName name="solver_rhs5" localSheetId="2" hidden="1">Optimial!$G$78:$G$86</definedName>
    <definedName name="solver_rhs6" localSheetId="2" hidden="1">"binary"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1" l="1"/>
  <c r="E32" i="11"/>
  <c r="D32" i="11"/>
  <c r="G31" i="11"/>
  <c r="E31" i="11"/>
  <c r="D31" i="11"/>
  <c r="K8" i="11"/>
  <c r="F54" i="11"/>
  <c r="G22" i="11"/>
  <c r="G23" i="11"/>
  <c r="G24" i="11"/>
  <c r="G25" i="11"/>
  <c r="G26" i="11"/>
  <c r="G27" i="11"/>
  <c r="G28" i="11"/>
  <c r="G29" i="11"/>
  <c r="G21" i="11"/>
  <c r="E22" i="11"/>
  <c r="E23" i="11"/>
  <c r="E24" i="11"/>
  <c r="E25" i="11"/>
  <c r="E26" i="11"/>
  <c r="E27" i="11"/>
  <c r="E28" i="11"/>
  <c r="E29" i="11"/>
  <c r="E21" i="11"/>
  <c r="D22" i="11"/>
  <c r="D23" i="11"/>
  <c r="D24" i="11"/>
  <c r="D25" i="11"/>
  <c r="D26" i="11"/>
  <c r="D27" i="11"/>
  <c r="D28" i="11"/>
  <c r="D29" i="11"/>
  <c r="D21" i="11"/>
  <c r="D92" i="11"/>
  <c r="D93" i="11"/>
  <c r="C30" i="11"/>
  <c r="F15" i="11"/>
  <c r="C15" i="11"/>
  <c r="D82" i="11"/>
  <c r="E79" i="11"/>
  <c r="E80" i="11"/>
  <c r="E81" i="11"/>
  <c r="E82" i="11"/>
  <c r="E83" i="11"/>
  <c r="E84" i="11"/>
  <c r="E85" i="11"/>
  <c r="E86" i="11"/>
  <c r="E78" i="11"/>
  <c r="D79" i="11"/>
  <c r="D80" i="11"/>
  <c r="D81" i="11"/>
  <c r="D83" i="11"/>
  <c r="D84" i="11"/>
  <c r="D85" i="11"/>
  <c r="D86" i="11"/>
  <c r="D78" i="11"/>
  <c r="J24" i="11"/>
  <c r="K11" i="11"/>
  <c r="K10" i="11"/>
  <c r="G15" i="11"/>
  <c r="E15" i="11"/>
  <c r="D15" i="11"/>
  <c r="C25" i="5"/>
  <c r="D23" i="5"/>
  <c r="D22" i="5"/>
  <c r="D20" i="5"/>
  <c r="F84" i="11" l="1"/>
  <c r="F78" i="11"/>
  <c r="F86" i="11"/>
  <c r="J29" i="11"/>
  <c r="J23" i="11"/>
  <c r="J22" i="11"/>
  <c r="J21" i="11"/>
  <c r="F79" i="11"/>
  <c r="F83" i="11"/>
  <c r="F85" i="11"/>
  <c r="F80" i="11"/>
  <c r="F82" i="11"/>
  <c r="I28" i="11"/>
  <c r="I25" i="11"/>
  <c r="D30" i="11"/>
  <c r="I26" i="11"/>
  <c r="E30" i="11"/>
  <c r="J28" i="11"/>
  <c r="G30" i="11"/>
  <c r="I21" i="11"/>
  <c r="J27" i="11"/>
  <c r="I29" i="11"/>
  <c r="J26" i="11"/>
  <c r="F81" i="11"/>
  <c r="I23" i="11"/>
  <c r="J25" i="11"/>
  <c r="I24" i="11"/>
  <c r="I22" i="11"/>
  <c r="I27" i="11"/>
  <c r="K5" i="11"/>
  <c r="D53" i="11" l="1"/>
  <c r="E53" i="11" s="1"/>
  <c r="F53" i="11" s="1"/>
  <c r="D56" i="11"/>
  <c r="E56" i="11" s="1"/>
  <c r="F56" i="11" s="1"/>
  <c r="D55" i="11"/>
  <c r="E55" i="11" s="1"/>
  <c r="D58" i="11"/>
  <c r="D67" i="11"/>
  <c r="D68" i="11"/>
  <c r="I30" i="11"/>
  <c r="J30" i="11"/>
  <c r="E51" i="11" l="1"/>
  <c r="F51" i="11" s="1"/>
  <c r="F55" i="11"/>
  <c r="C13" i="5" l="1"/>
  <c r="D13" i="5"/>
  <c r="F1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77CFFF-ADE8-4D1F-B669-513153FF2A5A}" keepAlive="1" name="Query - 3PL_in_percentage" description="Connection to the '3PL_in_percentage' query in the workbook." type="5" refreshedVersion="8" background="1" saveData="1">
    <dbPr connection="Provider=Microsoft.Mashup.OleDb.1;Data Source=$Workbook$;Location=3PL_in_percentage;Extended Properties=&quot;&quot;" command="SELECT * FROM [3PL_in_percentage]"/>
  </connection>
  <connection id="2" xr16:uid="{D33B0998-18C8-4C45-9C7F-E3BB705E1A96}" keepAlive="1" name="Query - 3PL_in_percentage(1)" description="Connection to the '3PL_in_percentage' query in the workbook." type="5" refreshedVersion="8" background="1" saveData="1">
    <dbPr connection="Provider=Microsoft.Mashup.OleDb.1;Data Source=$Workbook$;Location=3PL_in_percentage;Extended Properties=&quot;&quot;" command="SELECT * FROM [3PL_in_percentage]"/>
  </connection>
  <connection id="3" xr16:uid="{9EB56A45-6F8A-4CFD-866B-C8E04921C90A}" keepAlive="1" name="Query - 3PL_performance" description="Connection to the '3PL_performance' query in the workbook." type="5" refreshedVersion="8" background="1" saveData="1">
    <dbPr connection="Provider=Microsoft.Mashup.OleDb.1;Data Source=$Workbook$;Location=3PL_performance;Extended Properties=&quot;&quot;" command="SELECT * FROM [3PL_performance]"/>
  </connection>
  <connection id="4" xr16:uid="{CEF5FBD1-5E29-4568-814C-ABE697DA44DC}" keepAlive="1" name="Query - 3PL_performance (2)" description="Connection to the '3PL_performance (2)' query in the workbook." type="5" refreshedVersion="8" background="1" saveData="1">
    <dbPr connection="Provider=Microsoft.Mashup.OleDb.1;Data Source=$Workbook$;Location=&quot;3PL_performance (2)&quot;;Extended Properties=&quot;&quot;" command="SELECT * FROM [3PL_performance (2)]"/>
  </connection>
  <connection id="5" xr16:uid="{B8F69E3E-245F-444C-B621-E3A6637EFBA1}" keepAlive="1" name="Query - manu_sup" description="Connection to the 'manu_sup' query in the workbook." type="5" refreshedVersion="8" background="1" saveData="1">
    <dbPr connection="Provider=Microsoft.Mashup.OleDb.1;Data Source=$Workbook$;Location=manu_sup;Extended Properties=&quot;&quot;" command="SELECT * FROM [manu_sup]"/>
  </connection>
  <connection id="6" xr16:uid="{03CE7A2D-16AF-425B-BED4-A4395BF8A49A}" keepAlive="1" name="Query - purchase_order" description="Connection to the 'purchase_order' query in the workbook." type="5" refreshedVersion="8" background="1" saveData="1">
    <dbPr connection="Provider=Microsoft.Mashup.OleDb.1;Data Source=$Workbook$;Location=purchase_order;Extended Properties=&quot;&quot;" command="SELECT * FROM [purchase_order]"/>
  </connection>
  <connection id="7" xr16:uid="{476532E4-DF9B-4876-A667-3654A6315CC5}" keepAlive="1" name="Query - shipment" description="Connection to the 'shipment' query in the workbook." type="5" refreshedVersion="8" background="1" saveData="1">
    <dbPr connection="Provider=Microsoft.Mashup.OleDb.1;Data Source=$Workbook$;Location=shipment;Extended Properties=&quot;&quot;" command="SELECT * FROM [shipment]"/>
  </connection>
</connections>
</file>

<file path=xl/sharedStrings.xml><?xml version="1.0" encoding="utf-8"?>
<sst xmlns="http://schemas.openxmlformats.org/spreadsheetml/2006/main" count="151" uniqueCount="65">
  <si>
    <t>3PL_id</t>
  </si>
  <si>
    <t>total_shipment</t>
  </si>
  <si>
    <t>3pl_001</t>
  </si>
  <si>
    <t>3pl_002</t>
  </si>
  <si>
    <t>3pl_003</t>
  </si>
  <si>
    <t>3pl_004</t>
  </si>
  <si>
    <t>3pl_005</t>
  </si>
  <si>
    <t>3pl_006</t>
  </si>
  <si>
    <t>3pl_007</t>
  </si>
  <si>
    <t>3pl_008</t>
  </si>
  <si>
    <t>3pl_009</t>
  </si>
  <si>
    <t>product_damage</t>
  </si>
  <si>
    <t>total_trucking_shipment</t>
  </si>
  <si>
    <t>trucking_late</t>
  </si>
  <si>
    <t>total_global_shipment</t>
  </si>
  <si>
    <t>global_late</t>
  </si>
  <si>
    <t>%trucking_ontime</t>
  </si>
  <si>
    <t>%trucking_infull</t>
  </si>
  <si>
    <t>%global_ontime</t>
  </si>
  <si>
    <t>3PL INFORMATION</t>
  </si>
  <si>
    <t>GLOBAL SHIPMENT TO MARKET A</t>
  </si>
  <si>
    <t xml:space="preserve">INTERNAL SHIPMENT IN MARKET A </t>
  </si>
  <si>
    <t>Total fail COF cases = late delivery stock + late delivery packaged material + production interruption</t>
  </si>
  <si>
    <t>so, there are 85.000 cases fail COF</t>
  </si>
  <si>
    <t xml:space="preserve">%COF </t>
  </si>
  <si>
    <t>Tracking Solution</t>
  </si>
  <si>
    <t>according to the information of case study, there are 70.000 cases late delivery (50.000 + 20.000), and 15.000 cases late delivery direct to production interruption (=&gt; 1 late packaged material direct to 0.75 production interruption)</t>
  </si>
  <si>
    <t>NO</t>
  </si>
  <si>
    <t>%on_time</t>
  </si>
  <si>
    <t>%in_full</t>
  </si>
  <si>
    <t>Customer Satisfaction</t>
  </si>
  <si>
    <t>2025 Historical Data</t>
  </si>
  <si>
    <t>%trucking_share</t>
  </si>
  <si>
    <t>%global_share</t>
  </si>
  <si>
    <t>Objective Function</t>
  </si>
  <si>
    <t>subject to:</t>
  </si>
  <si>
    <t>Optimal</t>
  </si>
  <si>
    <t>Total top 3 share volume</t>
  </si>
  <si>
    <t>Trucking shipments</t>
  </si>
  <si>
    <t>Global shipments</t>
  </si>
  <si>
    <t>Must greater than</t>
  </si>
  <si>
    <t>Must less than</t>
  </si>
  <si>
    <t>In terms of on time criteria, according Pareto Theory, 80% volume was handled by top 3 3PLs, 20% volume was handled by others</t>
  </si>
  <si>
    <t>ON TIME</t>
  </si>
  <si>
    <t>where</t>
  </si>
  <si>
    <t>i is 3PLs</t>
  </si>
  <si>
    <t>1 is trucking shipment, 2 is global shipment</t>
  </si>
  <si>
    <t>4. Fit with 2025 data</t>
  </si>
  <si>
    <t>Total trucking and global shipments must equal to 2025 data</t>
  </si>
  <si>
    <t>Trucking shipment</t>
  </si>
  <si>
    <t>Global shipment</t>
  </si>
  <si>
    <t>5. Mathematics</t>
  </si>
  <si>
    <t>xi1, xi2 &gt; 0 and is integer</t>
  </si>
  <si>
    <t>MIN(FAIL CASES)</t>
  </si>
  <si>
    <t>1. Separate the volume of shipments</t>
  </si>
  <si>
    <t>2. Keep MOQ shipments to get lower logistics cost, and the number of 3PLs</t>
  </si>
  <si>
    <t xml:space="preserve">To avoid break product flow in supply chain, company X decided to keep all of them. </t>
  </si>
  <si>
    <t>Change with non-optimize</t>
  </si>
  <si>
    <t>% Change with non-optimize</t>
  </si>
  <si>
    <t>Total</t>
  </si>
  <si>
    <t>cases fail</t>
  </si>
  <si>
    <t>%</t>
  </si>
  <si>
    <t>xi1 + xi2 &gt; 360</t>
  </si>
  <si>
    <t xml:space="preserve">3PLs provide different productivities per month with different logistics cost. </t>
  </si>
  <si>
    <t>Each 3PLs want 30 shipments per month at least to provide promotional logistics cost. (30 shipments/ month = 360 shipments/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</si>
</sst>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10" fontId="0" fillId="0" borderId="0" xfId="1" applyNumberFormat="1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/>
    <xf numFmtId="0" fontId="3" fillId="0" borderId="1" xfId="0" applyFont="1" applyBorder="1"/>
    <xf numFmtId="10" fontId="3" fillId="0" borderId="1" xfId="1" applyNumberFormat="1" applyFont="1" applyBorder="1"/>
    <xf numFmtId="0" fontId="3" fillId="0" borderId="0" xfId="0" applyFont="1"/>
    <xf numFmtId="0" fontId="0" fillId="4" borderId="0" xfId="0" applyFill="1"/>
    <xf numFmtId="0" fontId="3" fillId="0" borderId="1" xfId="0" applyFont="1" applyBorder="1" applyAlignment="1">
      <alignment horizontal="center" vertical="center"/>
    </xf>
    <xf numFmtId="10" fontId="3" fillId="6" borderId="1" xfId="1" applyNumberFormat="1" applyFont="1" applyFill="1" applyBorder="1"/>
    <xf numFmtId="0" fontId="3" fillId="0" borderId="0" xfId="0" applyFont="1" applyAlignment="1">
      <alignment vertical="center"/>
    </xf>
    <xf numFmtId="1" fontId="0" fillId="3" borderId="1" xfId="0" applyNumberFormat="1" applyFill="1" applyBorder="1"/>
    <xf numFmtId="1" fontId="0" fillId="0" borderId="1" xfId="0" applyNumberFormat="1" applyBorder="1"/>
    <xf numFmtId="0" fontId="0" fillId="0" borderId="2" xfId="0" applyBorder="1"/>
    <xf numFmtId="0" fontId="0" fillId="0" borderId="3" xfId="0" applyBorder="1"/>
    <xf numFmtId="1" fontId="0" fillId="0" borderId="1" xfId="0" applyNumberFormat="1" applyBorder="1" applyAlignment="1">
      <alignment horizontal="center"/>
    </xf>
    <xf numFmtId="1" fontId="6" fillId="0" borderId="1" xfId="0" applyNumberFormat="1" applyFont="1" applyBorder="1"/>
    <xf numFmtId="1" fontId="3" fillId="0" borderId="1" xfId="0" applyNumberFormat="1" applyFont="1" applyBorder="1"/>
    <xf numFmtId="0" fontId="3" fillId="6" borderId="1" xfId="0" applyFont="1" applyFill="1" applyBorder="1"/>
    <xf numFmtId="0" fontId="0" fillId="6" borderId="0" xfId="0" applyFill="1"/>
    <xf numFmtId="0" fontId="0" fillId="6" borderId="1" xfId="0" applyFill="1" applyBorder="1" applyAlignment="1">
      <alignment horizontal="center"/>
    </xf>
    <xf numFmtId="10" fontId="0" fillId="6" borderId="1" xfId="1" applyNumberFormat="1" applyFont="1" applyFill="1" applyBorder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6" borderId="1" xfId="0" applyFill="1" applyBorder="1"/>
    <xf numFmtId="9" fontId="0" fillId="6" borderId="1" xfId="0" applyNumberFormat="1" applyFill="1" applyBorder="1"/>
    <xf numFmtId="3" fontId="0" fillId="6" borderId="1" xfId="0" applyNumberFormat="1" applyFill="1" applyBorder="1"/>
    <xf numFmtId="0" fontId="3" fillId="6" borderId="0" xfId="0" applyFont="1" applyFill="1"/>
    <xf numFmtId="164" fontId="0" fillId="0" borderId="1" xfId="0" applyNumberFormat="1" applyBorder="1"/>
    <xf numFmtId="164" fontId="0" fillId="0" borderId="0" xfId="0" applyNumberFormat="1"/>
    <xf numFmtId="3" fontId="5" fillId="5" borderId="0" xfId="0" applyNumberFormat="1" applyFont="1" applyFill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6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BEF5E005-71A8-48C6-854B-5440028BAECA}" autoFormatId="16" applyNumberFormats="0" applyBorderFormats="0" applyFontFormats="0" applyPatternFormats="0" applyAlignmentFormats="0" applyWidthHeightFormats="0">
  <queryTableRefresh nextId="5">
    <queryTableFields count="4">
      <queryTableField id="1" name="3PL_id" tableColumnId="1"/>
      <queryTableField id="2" name="%trucking_ontime" tableColumnId="2"/>
      <queryTableField id="3" name="%trucking_infull" tableColumnId="3"/>
      <queryTableField id="4" name="%global_onti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DE991347-66CA-4622-99F4-62C7669F278F}" autoFormatId="16" applyNumberFormats="0" applyBorderFormats="0" applyFontFormats="0" applyPatternFormats="0" applyAlignmentFormats="0" applyWidthHeightFormats="0">
  <queryTableRefresh nextId="10">
    <queryTableFields count="6">
      <queryTableField id="4" name="3PL_id" tableColumnId="4"/>
      <queryTableField id="5" name="total_trucking_shipment" tableColumnId="1"/>
      <queryTableField id="6" name="trucking_late" tableColumnId="2"/>
      <queryTableField id="7" name="product_damage" tableColumnId="3"/>
      <queryTableField id="8" name="total_global_shipment" tableColumnId="5"/>
      <queryTableField id="9" name="global_la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E45CE22F-2816-43AF-B36F-BDBA169ECF6C}" autoFormatId="16" applyNumberFormats="0" applyBorderFormats="0" applyFontFormats="0" applyPatternFormats="0" applyAlignmentFormats="0" applyWidthHeightFormats="0">
  <queryTableRefresh nextId="10">
    <queryTableFields count="6">
      <queryTableField id="4" name="3PL_id" tableColumnId="4"/>
      <queryTableField id="5" name="total_trucking_shipment" tableColumnId="1"/>
      <queryTableField id="6" name="trucking_late" tableColumnId="2"/>
      <queryTableField id="7" name="product_damage" tableColumnId="3"/>
      <queryTableField id="8" name="total_global_shipment" tableColumnId="5"/>
      <queryTableField id="9" name="global_l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E671DA-7D74-4D78-94A6-88C876796170}" name="_3PL_in_percentage" displayName="_3PL_in_percentage" ref="A1:D10" tableType="queryTable" totalsRowShown="0">
  <autoFilter ref="A1:D10" xr:uid="{62E671DA-7D74-4D78-94A6-88C876796170}"/>
  <tableColumns count="4">
    <tableColumn id="1" xr3:uid="{12E6A9A5-2C80-42C2-A963-B32482300E5C}" uniqueName="1" name="3PL_id" queryTableFieldId="1" dataDxfId="4"/>
    <tableColumn id="2" xr3:uid="{B8D9DE5C-F8EE-47D1-8F98-503ED7E0041F}" uniqueName="2" name="%trucking_ontime" queryTableFieldId="2"/>
    <tableColumn id="3" xr3:uid="{10B588D9-8113-429A-8922-621E3978B382}" uniqueName="3" name="%trucking_infull" queryTableFieldId="3"/>
    <tableColumn id="4" xr3:uid="{B271536B-BEE5-4F57-8547-AA7145740467}" uniqueName="4" name="%global_ontim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C9ED6E-D902-4FC1-ADC5-A57D839FCE3A}" name="_3PL_performance" displayName="_3PL_performance" ref="A3:F13" tableType="queryTable" totalsRowCount="1">
  <autoFilter ref="A3:F12" xr:uid="{E3C9ED6E-D902-4FC1-ADC5-A57D839FCE3A}"/>
  <tableColumns count="6">
    <tableColumn id="4" xr3:uid="{889B1E4A-36FB-4F43-9A15-67B4FE66826D}" uniqueName="4" name="3PL_id" queryTableFieldId="4" dataDxfId="3" totalsRowDxfId="2"/>
    <tableColumn id="1" xr3:uid="{DFD96CDF-C089-45C4-BA30-EFBDA14A7D72}" uniqueName="1" name="total_trucking_shipment" queryTableFieldId="5"/>
    <tableColumn id="2" xr3:uid="{823D8E81-1C51-4C5C-A114-4BE0AD7FF9A6}" uniqueName="2" name="trucking_late" totalsRowFunction="custom" queryTableFieldId="6">
      <totalsRowFormula>SUM(_3PL_performance[trucking_late])</totalsRowFormula>
    </tableColumn>
    <tableColumn id="3" xr3:uid="{9E79B5A1-2335-4670-9EEC-55F5213EDBD3}" uniqueName="3" name="product_damage" totalsRowFunction="sum" queryTableFieldId="7"/>
    <tableColumn id="5" xr3:uid="{321C06D2-376F-4A30-B673-D39A95EB1ABF}" uniqueName="5" name="total_global_shipment" queryTableFieldId="8"/>
    <tableColumn id="6" xr3:uid="{12D9046D-12D9-41F5-AB77-9ED9F5CF4F07}" uniqueName="6" name="global_late" totalsRowFunction="sum" queryTableFieldId="9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4C76ED-17F6-456D-9FC9-326F5123E19C}" name="_3PL_performance11" displayName="_3PL_performance11" ref="B5:G15" tableType="queryTable" totalsRowCount="1">
  <autoFilter ref="B5:G14" xr:uid="{234C76ED-17F6-456D-9FC9-326F5123E19C}"/>
  <tableColumns count="6">
    <tableColumn id="4" xr3:uid="{5AD8320C-C7AE-4AF9-AF68-685FB6B8E89C}" uniqueName="4" name="3PL_id" queryTableFieldId="4" dataDxfId="6" totalsRowDxfId="5"/>
    <tableColumn id="1" xr3:uid="{AC4D7C3F-E9EA-4D44-A489-1E055ABDE0A5}" uniqueName="1" name="total_trucking_shipment" totalsRowFunction="sum" queryTableFieldId="5"/>
    <tableColumn id="2" xr3:uid="{DD894C6D-3535-41D0-9AD0-6C01B4CD0B5C}" uniqueName="2" name="trucking_late" totalsRowFunction="custom" queryTableFieldId="6">
      <totalsRowFormula>SUM(_3PL_performance11[trucking_late])</totalsRowFormula>
    </tableColumn>
    <tableColumn id="3" xr3:uid="{F0A71878-C749-4857-B989-9CD6AF9FD53F}" uniqueName="3" name="product_damage" totalsRowFunction="sum" queryTableFieldId="7"/>
    <tableColumn id="5" xr3:uid="{88E2FF21-4D4F-499D-AD26-B7908DB98085}" uniqueName="5" name="total_global_shipment" totalsRowFunction="sum" queryTableFieldId="8"/>
    <tableColumn id="6" xr3:uid="{5E1F6AD1-C696-46B2-B080-5A961DF08FB3}" uniqueName="6" name="global_late" totalsRowFunction="sum" queryTableFieldId="9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EA44-B4D7-4E1D-B77F-96A1B6080DEA}">
  <dimension ref="A1:D10"/>
  <sheetViews>
    <sheetView workbookViewId="0">
      <selection sqref="A1:D10"/>
    </sheetView>
  </sheetViews>
  <sheetFormatPr defaultRowHeight="14.4" x14ac:dyDescent="0.3"/>
  <cols>
    <col min="1" max="1" width="8.6640625" bestFit="1" customWidth="1"/>
    <col min="2" max="2" width="18.33203125" bestFit="1" customWidth="1"/>
    <col min="3" max="4" width="16.6640625" bestFit="1" customWidth="1"/>
  </cols>
  <sheetData>
    <row r="1" spans="1:4" x14ac:dyDescent="0.3">
      <c r="A1" t="s">
        <v>0</v>
      </c>
      <c r="B1" t="s">
        <v>16</v>
      </c>
      <c r="C1" t="s">
        <v>17</v>
      </c>
      <c r="D1" t="s">
        <v>18</v>
      </c>
    </row>
    <row r="2" spans="1:4" x14ac:dyDescent="0.3">
      <c r="A2" t="s">
        <v>2</v>
      </c>
      <c r="B2">
        <v>0.5843373493975903</v>
      </c>
      <c r="C2">
        <v>0.97954782091328274</v>
      </c>
      <c r="D2">
        <v>0.7154525253738514</v>
      </c>
    </row>
    <row r="3" spans="1:4" x14ac:dyDescent="0.3">
      <c r="A3" t="s">
        <v>3</v>
      </c>
      <c r="B3">
        <v>0.95691135837502805</v>
      </c>
      <c r="C3">
        <v>0.98491524158016575</v>
      </c>
      <c r="D3">
        <v>0.48239167499559055</v>
      </c>
    </row>
    <row r="4" spans="1:4" x14ac:dyDescent="0.3">
      <c r="A4" t="s">
        <v>4</v>
      </c>
      <c r="B4">
        <v>0.31508405270331663</v>
      </c>
      <c r="C4">
        <v>0.97395123428744512</v>
      </c>
      <c r="D4">
        <v>0.48236722306525037</v>
      </c>
    </row>
    <row r="5" spans="1:4" x14ac:dyDescent="0.3">
      <c r="A5" t="s">
        <v>5</v>
      </c>
      <c r="B5">
        <v>0.91896332810516101</v>
      </c>
      <c r="C5">
        <v>0.98625737545746506</v>
      </c>
      <c r="D5">
        <v>0.36281151705782722</v>
      </c>
    </row>
    <row r="6" spans="1:4" x14ac:dyDescent="0.3">
      <c r="A6" t="s">
        <v>6</v>
      </c>
      <c r="B6">
        <v>0.58538220831470722</v>
      </c>
      <c r="C6">
        <v>0.97749962747727615</v>
      </c>
      <c r="D6">
        <v>0.77796397151235863</v>
      </c>
    </row>
    <row r="7" spans="1:4" x14ac:dyDescent="0.3">
      <c r="A7" t="s">
        <v>7</v>
      </c>
      <c r="B7">
        <v>0.24770915592639497</v>
      </c>
      <c r="C7">
        <v>0.97310586307084856</v>
      </c>
      <c r="D7">
        <v>0.29374064091045227</v>
      </c>
    </row>
    <row r="8" spans="1:4" x14ac:dyDescent="0.3">
      <c r="A8" t="s">
        <v>8</v>
      </c>
      <c r="B8">
        <v>0.16386396199381648</v>
      </c>
      <c r="C8">
        <v>0.97798054445366112</v>
      </c>
      <c r="D8">
        <v>0.65709112854556428</v>
      </c>
    </row>
    <row r="9" spans="1:4" x14ac:dyDescent="0.3">
      <c r="A9" t="s">
        <v>9</v>
      </c>
      <c r="B9">
        <v>0.58468993715453932</v>
      </c>
      <c r="C9">
        <v>0.98076777466495035</v>
      </c>
      <c r="D9">
        <v>0.3023142805078054</v>
      </c>
    </row>
    <row r="10" spans="1:4" x14ac:dyDescent="0.3">
      <c r="A10" t="s">
        <v>10</v>
      </c>
      <c r="B10">
        <v>0.88789136175028294</v>
      </c>
      <c r="C10">
        <v>0.98551490003772158</v>
      </c>
      <c r="D10">
        <v>0.59665009469696972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10A4-DCE6-4C6B-9B2F-81DC0C3CF5B5}">
  <dimension ref="A2:F25"/>
  <sheetViews>
    <sheetView topLeftCell="A3" workbookViewId="0">
      <selection activeCell="A2" sqref="A2:F25"/>
    </sheetView>
  </sheetViews>
  <sheetFormatPr defaultRowHeight="14.4" x14ac:dyDescent="0.3"/>
  <cols>
    <col min="1" max="1" width="16.44140625" bestFit="1" customWidth="1"/>
    <col min="2" max="2" width="21.88671875" customWidth="1"/>
    <col min="3" max="3" width="14" bestFit="1" customWidth="1"/>
    <col min="4" max="4" width="17.33203125" bestFit="1" customWidth="1"/>
    <col min="5" max="5" width="21.88671875" bestFit="1" customWidth="1"/>
    <col min="6" max="6" width="12.33203125" bestFit="1" customWidth="1"/>
    <col min="7" max="7" width="31.33203125" bestFit="1" customWidth="1"/>
    <col min="8" max="8" width="12" bestFit="1" customWidth="1"/>
    <col min="9" max="9" width="8.6640625" bestFit="1" customWidth="1"/>
  </cols>
  <sheetData>
    <row r="2" spans="1:6" ht="32.4" customHeight="1" x14ac:dyDescent="0.3">
      <c r="A2" s="3" t="s">
        <v>19</v>
      </c>
      <c r="B2" s="37" t="s">
        <v>21</v>
      </c>
      <c r="C2" s="37"/>
      <c r="D2" s="37"/>
      <c r="E2" s="37" t="s">
        <v>20</v>
      </c>
      <c r="F2" s="37"/>
    </row>
    <row r="3" spans="1:6" x14ac:dyDescent="0.3">
      <c r="A3" t="s">
        <v>0</v>
      </c>
      <c r="B3" t="s">
        <v>12</v>
      </c>
      <c r="C3" t="s">
        <v>13</v>
      </c>
      <c r="D3" t="s">
        <v>11</v>
      </c>
      <c r="E3" t="s">
        <v>14</v>
      </c>
      <c r="F3" t="s">
        <v>15</v>
      </c>
    </row>
    <row r="4" spans="1:6" x14ac:dyDescent="0.3">
      <c r="A4" t="s">
        <v>2</v>
      </c>
      <c r="B4">
        <v>13446</v>
      </c>
      <c r="C4">
        <v>5589</v>
      </c>
      <c r="D4">
        <v>275</v>
      </c>
      <c r="E4">
        <v>16651</v>
      </c>
      <c r="F4">
        <v>4738</v>
      </c>
    </row>
    <row r="5" spans="1:6" x14ac:dyDescent="0.3">
      <c r="A5" t="s">
        <v>3</v>
      </c>
      <c r="B5">
        <v>13391</v>
      </c>
      <c r="C5">
        <v>577</v>
      </c>
      <c r="D5">
        <v>202</v>
      </c>
      <c r="E5">
        <v>17009</v>
      </c>
      <c r="F5">
        <v>8804</v>
      </c>
    </row>
    <row r="6" spans="1:6" x14ac:dyDescent="0.3">
      <c r="A6" t="s">
        <v>4</v>
      </c>
      <c r="B6">
        <v>13206</v>
      </c>
      <c r="C6">
        <v>9045</v>
      </c>
      <c r="D6">
        <v>344</v>
      </c>
      <c r="E6">
        <v>16475</v>
      </c>
      <c r="F6">
        <v>6528</v>
      </c>
    </row>
    <row r="7" spans="1:6" x14ac:dyDescent="0.3">
      <c r="A7" t="s">
        <v>5</v>
      </c>
      <c r="B7">
        <v>13389</v>
      </c>
      <c r="C7">
        <v>1085</v>
      </c>
      <c r="D7">
        <v>184</v>
      </c>
      <c r="E7">
        <v>16532</v>
      </c>
      <c r="F7">
        <v>10534</v>
      </c>
    </row>
    <row r="8" spans="1:6" x14ac:dyDescent="0.3">
      <c r="A8" t="s">
        <v>6</v>
      </c>
      <c r="B8">
        <v>13422</v>
      </c>
      <c r="C8">
        <v>5565</v>
      </c>
      <c r="D8">
        <v>302</v>
      </c>
      <c r="E8">
        <v>16709</v>
      </c>
      <c r="F8">
        <v>3710</v>
      </c>
    </row>
    <row r="9" spans="1:6" x14ac:dyDescent="0.3">
      <c r="A9" t="s">
        <v>7</v>
      </c>
      <c r="B9">
        <v>13423</v>
      </c>
      <c r="C9">
        <v>10098</v>
      </c>
      <c r="D9">
        <v>361</v>
      </c>
      <c r="E9">
        <v>16695</v>
      </c>
      <c r="F9">
        <v>11791</v>
      </c>
    </row>
    <row r="10" spans="1:6" x14ac:dyDescent="0.3">
      <c r="A10" t="s">
        <v>8</v>
      </c>
      <c r="B10">
        <v>13261</v>
      </c>
      <c r="C10">
        <v>11088</v>
      </c>
      <c r="D10">
        <v>292</v>
      </c>
      <c r="E10">
        <v>16570</v>
      </c>
      <c r="F10">
        <v>5682</v>
      </c>
    </row>
    <row r="11" spans="1:6" x14ac:dyDescent="0.3">
      <c r="A11" t="s">
        <v>9</v>
      </c>
      <c r="B11">
        <v>13207</v>
      </c>
      <c r="C11">
        <v>5485</v>
      </c>
      <c r="D11">
        <v>254</v>
      </c>
      <c r="E11">
        <v>16463</v>
      </c>
      <c r="F11">
        <v>11486</v>
      </c>
    </row>
    <row r="12" spans="1:6" x14ac:dyDescent="0.3">
      <c r="A12" t="s">
        <v>10</v>
      </c>
      <c r="B12">
        <v>13255</v>
      </c>
      <c r="C12">
        <v>1486</v>
      </c>
      <c r="D12">
        <v>192</v>
      </c>
      <c r="E12">
        <v>16896</v>
      </c>
      <c r="F12">
        <v>6815</v>
      </c>
    </row>
    <row r="13" spans="1:6" x14ac:dyDescent="0.3">
      <c r="C13">
        <f>SUM(_3PL_performance[trucking_late])</f>
        <v>50018</v>
      </c>
      <c r="D13">
        <f>SUBTOTAL(109,_3PL_performance[product_damage])</f>
        <v>2406</v>
      </c>
      <c r="F13">
        <f>SUBTOTAL(109,_3PL_performance[global_late])</f>
        <v>70088</v>
      </c>
    </row>
    <row r="15" spans="1:6" x14ac:dyDescent="0.3">
      <c r="B15" t="s">
        <v>22</v>
      </c>
    </row>
    <row r="16" spans="1:6" x14ac:dyDescent="0.3">
      <c r="B16" t="s">
        <v>26</v>
      </c>
    </row>
    <row r="17" spans="2:4" x14ac:dyDescent="0.3">
      <c r="B17" t="s">
        <v>23</v>
      </c>
    </row>
    <row r="20" spans="2:4" x14ac:dyDescent="0.3">
      <c r="B20" t="s">
        <v>24</v>
      </c>
      <c r="C20" s="2">
        <v>85000</v>
      </c>
      <c r="D20" s="1">
        <f>1.308*(C20^-0.049)</f>
        <v>0.75000855398525834</v>
      </c>
    </row>
    <row r="21" spans="2:4" x14ac:dyDescent="0.3">
      <c r="B21" t="s">
        <v>25</v>
      </c>
      <c r="C21" s="2" t="s">
        <v>27</v>
      </c>
      <c r="D21" s="1">
        <v>0</v>
      </c>
    </row>
    <row r="22" spans="2:4" x14ac:dyDescent="0.3">
      <c r="B22" t="s">
        <v>28</v>
      </c>
      <c r="C22" s="2">
        <v>50018</v>
      </c>
      <c r="D22" s="1">
        <f>1.733*(C22^-0.115)</f>
        <v>0.49934307994054578</v>
      </c>
    </row>
    <row r="23" spans="2:4" x14ac:dyDescent="0.3">
      <c r="B23" t="s">
        <v>29</v>
      </c>
      <c r="C23" s="2">
        <v>2406</v>
      </c>
      <c r="D23" s="1">
        <f>1.0135*(C23^-0.0043)</f>
        <v>0.98013112725674034</v>
      </c>
    </row>
    <row r="25" spans="2:4" x14ac:dyDescent="0.3">
      <c r="B25" t="s">
        <v>30</v>
      </c>
      <c r="C25" s="1">
        <f>0.62*D20 + 0.18*D21 + 0.12*D22 + 0.08*D23</f>
        <v>0.60333696324426489</v>
      </c>
    </row>
  </sheetData>
  <mergeCells count="2">
    <mergeCell ref="B2:D2"/>
    <mergeCell ref="E2:F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05EF-8138-4F2D-8850-C8565D611F75}">
  <dimension ref="A2:K99"/>
  <sheetViews>
    <sheetView tabSelected="1" topLeftCell="A45" zoomScale="96" zoomScaleNormal="115" workbookViewId="0">
      <selection activeCell="I1" sqref="I1"/>
    </sheetView>
  </sheetViews>
  <sheetFormatPr defaultRowHeight="14.4" x14ac:dyDescent="0.3"/>
  <cols>
    <col min="2" max="2" width="16.44140625" bestFit="1" customWidth="1"/>
    <col min="3" max="3" width="21.88671875" customWidth="1"/>
    <col min="4" max="4" width="20.77734375" customWidth="1"/>
    <col min="5" max="5" width="20.21875" customWidth="1"/>
    <col min="6" max="6" width="22.88671875" customWidth="1"/>
    <col min="7" max="7" width="15.33203125" customWidth="1"/>
    <col min="9" max="9" width="20.33203125" customWidth="1"/>
    <col min="10" max="10" width="16" customWidth="1"/>
    <col min="11" max="11" width="14.77734375" customWidth="1"/>
  </cols>
  <sheetData>
    <row r="2" spans="2:11" x14ac:dyDescent="0.3">
      <c r="D2" s="35" t="s">
        <v>31</v>
      </c>
      <c r="E2" s="35"/>
    </row>
    <row r="4" spans="2:11" x14ac:dyDescent="0.3">
      <c r="B4" s="3" t="s">
        <v>19</v>
      </c>
      <c r="C4" s="37" t="s">
        <v>21</v>
      </c>
      <c r="D4" s="37"/>
      <c r="E4" s="37"/>
      <c r="F4" s="37" t="s">
        <v>20</v>
      </c>
      <c r="G4" s="37"/>
    </row>
    <row r="5" spans="2:11" x14ac:dyDescent="0.3">
      <c r="B5" t="s">
        <v>0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I5" s="36" t="s">
        <v>30</v>
      </c>
      <c r="J5" s="36"/>
      <c r="K5" s="12">
        <f>0.62*K8 + 0.18*K9 + 0.12*K10 + 0.08*K11</f>
        <v>0.60333696324426489</v>
      </c>
    </row>
    <row r="6" spans="2:11" x14ac:dyDescent="0.3">
      <c r="B6" t="s">
        <v>2</v>
      </c>
      <c r="C6">
        <v>13446</v>
      </c>
      <c r="D6">
        <v>5589</v>
      </c>
      <c r="E6">
        <v>275</v>
      </c>
      <c r="F6">
        <v>16651</v>
      </c>
      <c r="G6">
        <v>4738</v>
      </c>
      <c r="I6" s="22"/>
      <c r="J6" s="22"/>
      <c r="K6" s="22"/>
    </row>
    <row r="7" spans="2:11" x14ac:dyDescent="0.3">
      <c r="B7" t="s">
        <v>3</v>
      </c>
      <c r="C7">
        <v>13391</v>
      </c>
      <c r="D7">
        <v>577</v>
      </c>
      <c r="E7">
        <v>202</v>
      </c>
      <c r="F7">
        <v>17009</v>
      </c>
      <c r="G7">
        <v>8804</v>
      </c>
      <c r="I7" s="22"/>
      <c r="J7" s="25" t="s">
        <v>60</v>
      </c>
      <c r="K7" s="26" t="s">
        <v>61</v>
      </c>
    </row>
    <row r="8" spans="2:11" x14ac:dyDescent="0.3">
      <c r="B8" t="s">
        <v>4</v>
      </c>
      <c r="C8">
        <v>13206</v>
      </c>
      <c r="D8">
        <v>9045</v>
      </c>
      <c r="E8">
        <v>344</v>
      </c>
      <c r="F8">
        <v>16475</v>
      </c>
      <c r="G8">
        <v>6528</v>
      </c>
      <c r="I8" s="21" t="s">
        <v>24</v>
      </c>
      <c r="J8" s="23">
        <v>85000</v>
      </c>
      <c r="K8" s="24">
        <f>1.308*(J8^(-0.049))</f>
        <v>0.75000855398525834</v>
      </c>
    </row>
    <row r="9" spans="2:11" x14ac:dyDescent="0.3">
      <c r="B9" t="s">
        <v>5</v>
      </c>
      <c r="C9">
        <v>13389</v>
      </c>
      <c r="D9">
        <v>1085</v>
      </c>
      <c r="E9">
        <v>184</v>
      </c>
      <c r="F9">
        <v>16532</v>
      </c>
      <c r="G9">
        <v>10534</v>
      </c>
      <c r="I9" s="21" t="s">
        <v>25</v>
      </c>
      <c r="J9" s="23" t="s">
        <v>27</v>
      </c>
      <c r="K9" s="24">
        <v>0</v>
      </c>
    </row>
    <row r="10" spans="2:11" x14ac:dyDescent="0.3">
      <c r="B10" t="s">
        <v>6</v>
      </c>
      <c r="C10">
        <v>13422</v>
      </c>
      <c r="D10">
        <v>5565</v>
      </c>
      <c r="E10">
        <v>302</v>
      </c>
      <c r="F10">
        <v>16709</v>
      </c>
      <c r="G10">
        <v>3710</v>
      </c>
      <c r="I10" s="21" t="s">
        <v>28</v>
      </c>
      <c r="J10" s="23">
        <v>50018</v>
      </c>
      <c r="K10" s="24">
        <f>1.733*(J10^-0.115)</f>
        <v>0.49934307994054578</v>
      </c>
    </row>
    <row r="11" spans="2:11" x14ac:dyDescent="0.3">
      <c r="B11" t="s">
        <v>7</v>
      </c>
      <c r="C11">
        <v>13423</v>
      </c>
      <c r="D11">
        <v>10098</v>
      </c>
      <c r="E11">
        <v>361</v>
      </c>
      <c r="F11">
        <v>16695</v>
      </c>
      <c r="G11">
        <v>11791</v>
      </c>
      <c r="I11" s="21" t="s">
        <v>29</v>
      </c>
      <c r="J11" s="23">
        <v>2406</v>
      </c>
      <c r="K11" s="24">
        <f>1.0135*(J11^-0.0043)</f>
        <v>0.98013112725674034</v>
      </c>
    </row>
    <row r="12" spans="2:11" x14ac:dyDescent="0.3">
      <c r="B12" t="s">
        <v>8</v>
      </c>
      <c r="C12">
        <v>13261</v>
      </c>
      <c r="D12">
        <v>11088</v>
      </c>
      <c r="E12">
        <v>292</v>
      </c>
      <c r="F12">
        <v>16570</v>
      </c>
      <c r="G12">
        <v>5682</v>
      </c>
    </row>
    <row r="13" spans="2:11" x14ac:dyDescent="0.3">
      <c r="B13" t="s">
        <v>9</v>
      </c>
      <c r="C13">
        <v>13207</v>
      </c>
      <c r="D13">
        <v>5485</v>
      </c>
      <c r="E13">
        <v>254</v>
      </c>
      <c r="F13">
        <v>16463</v>
      </c>
      <c r="G13">
        <v>11486</v>
      </c>
    </row>
    <row r="14" spans="2:11" x14ac:dyDescent="0.3">
      <c r="B14" t="s">
        <v>10</v>
      </c>
      <c r="C14">
        <v>13255</v>
      </c>
      <c r="D14">
        <v>1486</v>
      </c>
      <c r="E14">
        <v>192</v>
      </c>
      <c r="F14">
        <v>16896</v>
      </c>
      <c r="G14">
        <v>6815</v>
      </c>
    </row>
    <row r="15" spans="2:11" x14ac:dyDescent="0.3">
      <c r="C15">
        <f>SUBTOTAL(109,_3PL_performance11[total_trucking_shipment])</f>
        <v>120000</v>
      </c>
      <c r="D15">
        <f>SUM(_3PL_performance11[trucking_late])</f>
        <v>50018</v>
      </c>
      <c r="E15">
        <f>SUBTOTAL(109,_3PL_performance11[product_damage])</f>
        <v>2406</v>
      </c>
      <c r="F15">
        <f>SUBTOTAL(109,_3PL_performance11[total_global_shipment])</f>
        <v>150000</v>
      </c>
      <c r="G15">
        <f>SUBTOTAL(109,_3PL_performance11[global_late])</f>
        <v>70088</v>
      </c>
    </row>
    <row r="17" spans="2:11" s="10" customFormat="1" x14ac:dyDescent="0.3"/>
    <row r="19" spans="2:11" ht="27.6" customHeight="1" x14ac:dyDescent="0.3">
      <c r="B19" s="11" t="s">
        <v>19</v>
      </c>
      <c r="C19" s="34" t="s">
        <v>21</v>
      </c>
      <c r="D19" s="34"/>
      <c r="E19" s="34"/>
      <c r="F19" s="34" t="s">
        <v>20</v>
      </c>
      <c r="G19" s="34"/>
      <c r="I19" s="34" t="s">
        <v>43</v>
      </c>
      <c r="J19" s="34"/>
      <c r="K19" s="13"/>
    </row>
    <row r="20" spans="2:11" x14ac:dyDescent="0.3">
      <c r="B20" s="7" t="s">
        <v>0</v>
      </c>
      <c r="C20" s="7" t="s">
        <v>12</v>
      </c>
      <c r="D20" s="7" t="s">
        <v>13</v>
      </c>
      <c r="E20" s="7" t="s">
        <v>11</v>
      </c>
      <c r="F20" s="7" t="s">
        <v>14</v>
      </c>
      <c r="G20" s="7" t="s">
        <v>15</v>
      </c>
      <c r="I20" s="7" t="s">
        <v>32</v>
      </c>
      <c r="J20" s="7" t="s">
        <v>33</v>
      </c>
    </row>
    <row r="21" spans="2:11" x14ac:dyDescent="0.3">
      <c r="B21" s="4" t="s">
        <v>2</v>
      </c>
      <c r="C21" s="14">
        <v>360</v>
      </c>
      <c r="D21" s="15">
        <f t="shared" ref="D21:D29" si="0">C21*(1-C37)</f>
        <v>149.6385542168675</v>
      </c>
      <c r="E21" s="15">
        <f t="shared" ref="E21:E29" si="1">C21*(1-D37)</f>
        <v>7.3627844712182133</v>
      </c>
      <c r="F21" s="14">
        <v>0</v>
      </c>
      <c r="G21" s="15">
        <f t="shared" ref="G21:G29" si="2">F21*(1-E37)</f>
        <v>0</v>
      </c>
      <c r="I21" s="6">
        <f>IFERROR(C21/$C$30,0)</f>
        <v>3.0000000000000001E-3</v>
      </c>
      <c r="J21" s="6">
        <f>IFERROR(F21/$F$30,0)</f>
        <v>0</v>
      </c>
    </row>
    <row r="22" spans="2:11" x14ac:dyDescent="0.3">
      <c r="B22" s="4" t="s">
        <v>3</v>
      </c>
      <c r="C22" s="14">
        <v>99240</v>
      </c>
      <c r="D22" s="15">
        <f t="shared" si="0"/>
        <v>4276.116794862216</v>
      </c>
      <c r="E22" s="15">
        <f t="shared" si="1"/>
        <v>1497.0114255843514</v>
      </c>
      <c r="F22" s="14">
        <v>0</v>
      </c>
      <c r="G22" s="15">
        <f t="shared" si="2"/>
        <v>0</v>
      </c>
      <c r="I22" s="6">
        <f t="shared" ref="I22:I29" si="3">IFERROR(C22/$C$30,0)</f>
        <v>0.82699999999999996</v>
      </c>
      <c r="J22" s="6">
        <f t="shared" ref="J22:J29" si="4">IFERROR(F22/$F$30,0)</f>
        <v>0</v>
      </c>
    </row>
    <row r="23" spans="2:11" x14ac:dyDescent="0.3">
      <c r="B23" s="4" t="s">
        <v>4</v>
      </c>
      <c r="C23" s="14">
        <v>0</v>
      </c>
      <c r="D23" s="15">
        <f t="shared" si="0"/>
        <v>0</v>
      </c>
      <c r="E23" s="15">
        <f t="shared" si="1"/>
        <v>0</v>
      </c>
      <c r="F23" s="14">
        <v>360</v>
      </c>
      <c r="G23" s="15">
        <f t="shared" si="2"/>
        <v>186.34779969650987</v>
      </c>
      <c r="I23" s="6">
        <f t="shared" si="3"/>
        <v>0</v>
      </c>
      <c r="J23" s="6">
        <f t="shared" si="4"/>
        <v>2.3999999999999998E-3</v>
      </c>
    </row>
    <row r="24" spans="2:11" x14ac:dyDescent="0.3">
      <c r="B24" s="4" t="s">
        <v>5</v>
      </c>
      <c r="C24" s="14">
        <v>360</v>
      </c>
      <c r="D24" s="15">
        <f t="shared" si="0"/>
        <v>29.173201882142035</v>
      </c>
      <c r="E24" s="15">
        <f t="shared" si="1"/>
        <v>4.9473448353125793</v>
      </c>
      <c r="F24" s="14">
        <v>0</v>
      </c>
      <c r="G24" s="15">
        <f t="shared" si="2"/>
        <v>0</v>
      </c>
      <c r="I24" s="6">
        <f t="shared" si="3"/>
        <v>3.0000000000000001E-3</v>
      </c>
      <c r="J24" s="6">
        <f t="shared" si="4"/>
        <v>0</v>
      </c>
    </row>
    <row r="25" spans="2:11" x14ac:dyDescent="0.3">
      <c r="B25" s="4" t="s">
        <v>6</v>
      </c>
      <c r="C25" s="14">
        <v>0</v>
      </c>
      <c r="D25" s="15">
        <f t="shared" si="0"/>
        <v>0</v>
      </c>
      <c r="E25" s="15">
        <f t="shared" si="1"/>
        <v>0</v>
      </c>
      <c r="F25" s="14">
        <v>124140</v>
      </c>
      <c r="G25" s="15">
        <f t="shared" si="2"/>
        <v>27563.552576455801</v>
      </c>
      <c r="I25" s="6">
        <f t="shared" si="3"/>
        <v>0</v>
      </c>
      <c r="J25" s="6">
        <f t="shared" si="4"/>
        <v>0.8276</v>
      </c>
    </row>
    <row r="26" spans="2:11" x14ac:dyDescent="0.3">
      <c r="B26" s="4" t="s">
        <v>7</v>
      </c>
      <c r="C26" s="14">
        <v>0</v>
      </c>
      <c r="D26" s="15">
        <f t="shared" si="0"/>
        <v>0</v>
      </c>
      <c r="E26" s="15">
        <f t="shared" si="1"/>
        <v>0</v>
      </c>
      <c r="F26" s="14">
        <v>360</v>
      </c>
      <c r="G26" s="15">
        <f t="shared" si="2"/>
        <v>254.25336927223719</v>
      </c>
      <c r="I26" s="6">
        <f>IFERROR(C26/$C$30,0)</f>
        <v>0</v>
      </c>
      <c r="J26" s="6">
        <f t="shared" si="4"/>
        <v>2.3999999999999998E-3</v>
      </c>
    </row>
    <row r="27" spans="2:11" x14ac:dyDescent="0.3">
      <c r="B27" s="4" t="s">
        <v>8</v>
      </c>
      <c r="C27" s="14">
        <v>0</v>
      </c>
      <c r="D27" s="15">
        <f t="shared" si="0"/>
        <v>0</v>
      </c>
      <c r="E27" s="15">
        <f t="shared" si="1"/>
        <v>0</v>
      </c>
      <c r="F27" s="14">
        <v>360</v>
      </c>
      <c r="G27" s="15">
        <f t="shared" si="2"/>
        <v>123.44719372359685</v>
      </c>
      <c r="I27" s="6">
        <f t="shared" si="3"/>
        <v>0</v>
      </c>
      <c r="J27" s="6">
        <f t="shared" si="4"/>
        <v>2.3999999999999998E-3</v>
      </c>
    </row>
    <row r="28" spans="2:11" x14ac:dyDescent="0.3">
      <c r="B28" s="4" t="s">
        <v>9</v>
      </c>
      <c r="C28" s="14">
        <v>20040.000000000007</v>
      </c>
      <c r="D28" s="15">
        <f t="shared" si="0"/>
        <v>8322.8136594230346</v>
      </c>
      <c r="E28" s="15">
        <f t="shared" si="1"/>
        <v>385.41379571439506</v>
      </c>
      <c r="F28" s="14">
        <v>0</v>
      </c>
      <c r="G28" s="15">
        <f t="shared" si="2"/>
        <v>0</v>
      </c>
      <c r="I28" s="6">
        <f t="shared" si="3"/>
        <v>0.16700000000000007</v>
      </c>
      <c r="J28" s="6">
        <f t="shared" si="4"/>
        <v>0</v>
      </c>
    </row>
    <row r="29" spans="2:11" x14ac:dyDescent="0.3">
      <c r="B29" s="4" t="s">
        <v>10</v>
      </c>
      <c r="C29" s="14">
        <v>0</v>
      </c>
      <c r="D29" s="15">
        <f t="shared" si="0"/>
        <v>0</v>
      </c>
      <c r="E29" s="15">
        <f t="shared" si="1"/>
        <v>0</v>
      </c>
      <c r="F29" s="14">
        <v>24779.999999999993</v>
      </c>
      <c r="G29" s="15">
        <f t="shared" si="2"/>
        <v>9995.0106534090864</v>
      </c>
      <c r="I29" s="6">
        <f t="shared" si="3"/>
        <v>0</v>
      </c>
      <c r="J29" s="6">
        <f t="shared" si="4"/>
        <v>0.16519999999999996</v>
      </c>
    </row>
    <row r="30" spans="2:11" x14ac:dyDescent="0.3">
      <c r="B30" s="7" t="s">
        <v>59</v>
      </c>
      <c r="C30" s="20">
        <f>120000</f>
        <v>120000</v>
      </c>
      <c r="D30" s="20">
        <f t="shared" ref="D30:G30" si="5">SUM(D21:D29)</f>
        <v>12777.74221038426</v>
      </c>
      <c r="E30" s="20">
        <f t="shared" si="5"/>
        <v>1894.7353506052773</v>
      </c>
      <c r="F30" s="20">
        <v>150000</v>
      </c>
      <c r="G30" s="20">
        <f t="shared" si="5"/>
        <v>38122.61159255723</v>
      </c>
      <c r="I30" s="8">
        <f>SUM(I21:I29)</f>
        <v>1</v>
      </c>
      <c r="J30" s="8">
        <f>SUM(J21:J29)</f>
        <v>0.99999999999999978</v>
      </c>
    </row>
    <row r="31" spans="2:11" x14ac:dyDescent="0.3">
      <c r="B31" s="7" t="s">
        <v>57</v>
      </c>
      <c r="C31" s="4"/>
      <c r="D31" s="19">
        <f>D30-_3PL_performance11[[#Totals],[trucking_late]]</f>
        <v>-37240.257789615738</v>
      </c>
      <c r="E31" s="19">
        <f>E30-_3PL_performance11[[#Totals],[product_damage]]</f>
        <v>-511.26464939472271</v>
      </c>
      <c r="F31" s="19"/>
      <c r="G31" s="19">
        <f>G30-_3PL_performance11[[#Totals],[global_late]]</f>
        <v>-31965.38840744277</v>
      </c>
    </row>
    <row r="32" spans="2:11" x14ac:dyDescent="0.3">
      <c r="B32" s="7" t="s">
        <v>58</v>
      </c>
      <c r="C32" s="4"/>
      <c r="D32" s="8">
        <f>D31/_3PL_performance11[[#Totals],[trucking_late]]</f>
        <v>-0.74453712242824055</v>
      </c>
      <c r="E32" s="8">
        <f>E31/_3PL_performance11[[#Totals],[product_damage]]</f>
        <v>-0.21249569800279414</v>
      </c>
      <c r="F32" s="6"/>
      <c r="G32" s="8">
        <f>G31/_3PL_performance11[[#Totals],[global_late]]</f>
        <v>-0.45607505432374684</v>
      </c>
    </row>
    <row r="36" spans="2:5" x14ac:dyDescent="0.3">
      <c r="B36" s="7" t="s">
        <v>0</v>
      </c>
      <c r="C36" s="7" t="s">
        <v>16</v>
      </c>
      <c r="D36" s="7" t="s">
        <v>17</v>
      </c>
      <c r="E36" s="7" t="s">
        <v>18</v>
      </c>
    </row>
    <row r="37" spans="2:5" x14ac:dyDescent="0.3">
      <c r="B37" s="4" t="s">
        <v>2</v>
      </c>
      <c r="C37" s="6">
        <v>0.5843373493975903</v>
      </c>
      <c r="D37" s="6">
        <v>0.97954782091328274</v>
      </c>
      <c r="E37" s="6">
        <v>0.7154525253738514</v>
      </c>
    </row>
    <row r="38" spans="2:5" x14ac:dyDescent="0.3">
      <c r="B38" s="4" t="s">
        <v>3</v>
      </c>
      <c r="C38" s="6">
        <v>0.95691135837502805</v>
      </c>
      <c r="D38" s="6">
        <v>0.98491524158016575</v>
      </c>
      <c r="E38" s="6">
        <v>0.48239167499559055</v>
      </c>
    </row>
    <row r="39" spans="2:5" x14ac:dyDescent="0.3">
      <c r="B39" s="4" t="s">
        <v>4</v>
      </c>
      <c r="C39" s="6">
        <v>0.31508405270331663</v>
      </c>
      <c r="D39" s="6">
        <v>0.97395123428744512</v>
      </c>
      <c r="E39" s="6">
        <v>0.48236722306525037</v>
      </c>
    </row>
    <row r="40" spans="2:5" x14ac:dyDescent="0.3">
      <c r="B40" s="4" t="s">
        <v>5</v>
      </c>
      <c r="C40" s="6">
        <v>0.91896332810516101</v>
      </c>
      <c r="D40" s="6">
        <v>0.98625737545746506</v>
      </c>
      <c r="E40" s="6">
        <v>0.36281151705782722</v>
      </c>
    </row>
    <row r="41" spans="2:5" x14ac:dyDescent="0.3">
      <c r="B41" s="4" t="s">
        <v>6</v>
      </c>
      <c r="C41" s="6">
        <v>0.58538220831470722</v>
      </c>
      <c r="D41" s="6">
        <v>0.97749962747727615</v>
      </c>
      <c r="E41" s="6">
        <v>0.77796397151235863</v>
      </c>
    </row>
    <row r="42" spans="2:5" x14ac:dyDescent="0.3">
      <c r="B42" s="4" t="s">
        <v>7</v>
      </c>
      <c r="C42" s="6">
        <v>0.24770915592639497</v>
      </c>
      <c r="D42" s="6">
        <v>0.97310586307084856</v>
      </c>
      <c r="E42" s="6">
        <v>0.29374064091045227</v>
      </c>
    </row>
    <row r="43" spans="2:5" x14ac:dyDescent="0.3">
      <c r="B43" s="4" t="s">
        <v>8</v>
      </c>
      <c r="C43" s="6">
        <v>0.16386396199381648</v>
      </c>
      <c r="D43" s="6">
        <v>0.97798054445366112</v>
      </c>
      <c r="E43" s="6">
        <v>0.65709112854556428</v>
      </c>
    </row>
    <row r="44" spans="2:5" x14ac:dyDescent="0.3">
      <c r="B44" s="4" t="s">
        <v>9</v>
      </c>
      <c r="C44" s="6">
        <v>0.58468993715453932</v>
      </c>
      <c r="D44" s="6">
        <v>0.98076777466495035</v>
      </c>
      <c r="E44" s="6">
        <v>0.3023142805078054</v>
      </c>
    </row>
    <row r="45" spans="2:5" x14ac:dyDescent="0.3">
      <c r="B45" s="4" t="s">
        <v>10</v>
      </c>
      <c r="C45" s="6">
        <v>0.88789136175028294</v>
      </c>
      <c r="D45" s="6">
        <v>0.98551490003772158</v>
      </c>
      <c r="E45" s="6">
        <v>0.59665009469696972</v>
      </c>
    </row>
    <row r="47" spans="2:5" s="10" customFormat="1" x14ac:dyDescent="0.3"/>
    <row r="50" spans="1:11" x14ac:dyDescent="0.3">
      <c r="F50" s="9" t="s">
        <v>57</v>
      </c>
    </row>
    <row r="51" spans="1:11" x14ac:dyDescent="0.3">
      <c r="C51" s="16" t="s">
        <v>30</v>
      </c>
      <c r="D51" s="17"/>
      <c r="E51" s="12">
        <f>0.62*E53 + 0.18*E54 + 0.12*E55 + 0.08*E56</f>
        <v>0.67015248016737461</v>
      </c>
      <c r="F51" s="31">
        <f>E51-K5</f>
        <v>6.6815516923109719E-2</v>
      </c>
    </row>
    <row r="52" spans="1:11" x14ac:dyDescent="0.3">
      <c r="F52" s="32"/>
    </row>
    <row r="53" spans="1:11" x14ac:dyDescent="0.3">
      <c r="C53" s="4" t="s">
        <v>24</v>
      </c>
      <c r="D53" s="18">
        <f>(G30/7*2)*0.75</f>
        <v>8169.1310555479777</v>
      </c>
      <c r="E53" s="6">
        <f>IFERROR(1.308*(D53^-0.049),0)</f>
        <v>0.84122297752396558</v>
      </c>
      <c r="F53" s="31">
        <f>E53-K8</f>
        <v>9.1214423538707234E-2</v>
      </c>
    </row>
    <row r="54" spans="1:11" x14ac:dyDescent="0.3">
      <c r="C54" s="4" t="s">
        <v>25</v>
      </c>
      <c r="D54" s="5" t="s">
        <v>27</v>
      </c>
      <c r="E54" s="6">
        <v>0</v>
      </c>
      <c r="F54" s="6">
        <f>E54-K9</f>
        <v>0</v>
      </c>
    </row>
    <row r="55" spans="1:11" x14ac:dyDescent="0.3">
      <c r="C55" s="4" t="s">
        <v>28</v>
      </c>
      <c r="D55" s="18">
        <f>D30</f>
        <v>12777.74221038426</v>
      </c>
      <c r="E55" s="6">
        <f>IFERROR(1.733*(D55^-0.115),0)</f>
        <v>0.58419298638103767</v>
      </c>
      <c r="F55" s="31">
        <f>E55-K10</f>
        <v>8.4849906440491896E-2</v>
      </c>
    </row>
    <row r="56" spans="1:11" x14ac:dyDescent="0.3">
      <c r="C56" s="4" t="s">
        <v>29</v>
      </c>
      <c r="D56" s="18">
        <f>E30</f>
        <v>1894.7353506052773</v>
      </c>
      <c r="E56" s="6">
        <f>IFERROR(1.0135*(D56^-0.0043),0)</f>
        <v>0.98113844670989203</v>
      </c>
      <c r="F56" s="31">
        <f>E56-K11</f>
        <v>1.0073194531516894E-3</v>
      </c>
    </row>
    <row r="58" spans="1:11" x14ac:dyDescent="0.3">
      <c r="B58" s="9" t="s">
        <v>34</v>
      </c>
      <c r="C58" t="s">
        <v>53</v>
      </c>
      <c r="D58" s="33">
        <f>SUM(D30+E30+G30)</f>
        <v>52795.089153546767</v>
      </c>
    </row>
    <row r="61" spans="1:11" x14ac:dyDescent="0.3">
      <c r="B61" s="9" t="s">
        <v>35</v>
      </c>
    </row>
    <row r="62" spans="1:1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</row>
    <row r="63" spans="1:11" x14ac:dyDescent="0.3">
      <c r="A63" s="22"/>
      <c r="B63" s="30" t="s">
        <v>54</v>
      </c>
      <c r="C63" s="22"/>
      <c r="D63" s="22"/>
      <c r="E63" s="22"/>
      <c r="F63" s="22"/>
      <c r="G63" s="22"/>
      <c r="H63" s="22"/>
      <c r="I63" s="22"/>
      <c r="J63" s="22"/>
      <c r="K63" s="22"/>
    </row>
    <row r="64" spans="1:11" x14ac:dyDescent="0.3">
      <c r="A64" s="22"/>
      <c r="B64" s="22" t="s">
        <v>42</v>
      </c>
      <c r="C64" s="22"/>
      <c r="D64" s="22"/>
      <c r="E64" s="22"/>
      <c r="F64" s="22"/>
      <c r="G64" s="22"/>
      <c r="H64" s="22"/>
      <c r="I64" s="22"/>
      <c r="J64" s="22"/>
      <c r="K64" s="22"/>
    </row>
    <row r="65" spans="1:1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</row>
    <row r="66" spans="1:11" x14ac:dyDescent="0.3">
      <c r="A66" s="22"/>
      <c r="B66" s="22"/>
      <c r="C66" s="27" t="s">
        <v>37</v>
      </c>
      <c r="D66" s="27" t="s">
        <v>36</v>
      </c>
      <c r="E66" s="27" t="s">
        <v>40</v>
      </c>
      <c r="F66" s="27" t="s">
        <v>41</v>
      </c>
      <c r="G66" s="22"/>
      <c r="H66" s="22"/>
      <c r="I66" s="22"/>
      <c r="J66" s="22"/>
      <c r="K66" s="22"/>
    </row>
    <row r="67" spans="1:11" x14ac:dyDescent="0.3">
      <c r="A67" s="22"/>
      <c r="B67" s="22"/>
      <c r="C67" s="27" t="s">
        <v>38</v>
      </c>
      <c r="D67" s="24">
        <f>I22+I24+I29</f>
        <v>0.83</v>
      </c>
      <c r="E67" s="28">
        <v>0.77</v>
      </c>
      <c r="F67" s="28">
        <v>0.83</v>
      </c>
      <c r="G67" s="22"/>
      <c r="H67" s="22"/>
      <c r="I67" s="22"/>
      <c r="J67" s="22"/>
      <c r="K67" s="22"/>
    </row>
    <row r="68" spans="1:11" x14ac:dyDescent="0.3">
      <c r="A68" s="22"/>
      <c r="B68" s="22"/>
      <c r="C68" s="27" t="s">
        <v>39</v>
      </c>
      <c r="D68" s="24">
        <f>J25+J21+J27</f>
        <v>0.83</v>
      </c>
      <c r="E68" s="28">
        <v>0.77</v>
      </c>
      <c r="F68" s="28">
        <v>0.83</v>
      </c>
      <c r="G68" s="22"/>
      <c r="H68" s="22"/>
      <c r="I68" s="22"/>
      <c r="J68" s="22"/>
      <c r="K68" s="22"/>
    </row>
    <row r="69" spans="1:1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</row>
    <row r="70" spans="1:11" x14ac:dyDescent="0.3">
      <c r="A70" s="22"/>
      <c r="B70" s="30" t="s">
        <v>55</v>
      </c>
      <c r="C70" s="22"/>
      <c r="D70" s="22"/>
      <c r="E70" s="22"/>
      <c r="F70" s="22"/>
      <c r="G70" s="22"/>
      <c r="H70" s="22"/>
      <c r="I70" s="22"/>
      <c r="J70" s="22"/>
      <c r="K70" s="22"/>
    </row>
    <row r="71" spans="1:11" x14ac:dyDescent="0.3">
      <c r="A71" s="22"/>
      <c r="B71" s="22" t="s">
        <v>56</v>
      </c>
      <c r="C71" s="22"/>
      <c r="D71" s="22"/>
      <c r="E71" s="22"/>
      <c r="F71" s="22"/>
      <c r="G71" s="22"/>
      <c r="H71" s="22"/>
      <c r="I71" s="22"/>
      <c r="J71" s="22"/>
      <c r="K71" s="22"/>
    </row>
    <row r="72" spans="1:11" x14ac:dyDescent="0.3">
      <c r="A72" s="22"/>
      <c r="B72" s="22" t="s">
        <v>63</v>
      </c>
      <c r="C72" s="22"/>
      <c r="D72" s="22"/>
      <c r="E72" s="22"/>
      <c r="F72" s="22"/>
      <c r="G72" s="22"/>
      <c r="H72" s="22"/>
      <c r="I72" s="22"/>
      <c r="J72" s="22"/>
      <c r="K72" s="22"/>
    </row>
    <row r="73" spans="1:11" x14ac:dyDescent="0.3">
      <c r="A73" s="22"/>
      <c r="B73" s="22" t="s">
        <v>64</v>
      </c>
      <c r="C73" s="22"/>
      <c r="D73" s="22"/>
      <c r="E73" s="22"/>
      <c r="F73" s="22"/>
      <c r="G73" s="22"/>
      <c r="H73" s="22"/>
      <c r="I73" s="22"/>
      <c r="J73" s="22"/>
      <c r="K73" s="22"/>
    </row>
    <row r="74" spans="1:11" x14ac:dyDescent="0.3">
      <c r="A74" s="22"/>
      <c r="B74" s="22"/>
      <c r="C74" s="22"/>
      <c r="D74" s="22" t="s">
        <v>62</v>
      </c>
      <c r="E74" s="22" t="s">
        <v>44</v>
      </c>
      <c r="F74" s="22" t="s">
        <v>45</v>
      </c>
      <c r="G74" s="22"/>
      <c r="H74" s="22"/>
      <c r="I74" s="22"/>
      <c r="J74" s="22"/>
      <c r="K74" s="22"/>
    </row>
    <row r="75" spans="1:11" x14ac:dyDescent="0.3">
      <c r="A75" s="22"/>
      <c r="B75" s="22"/>
      <c r="C75" s="22"/>
      <c r="D75" s="22"/>
      <c r="E75" s="22"/>
      <c r="F75" s="22" t="s">
        <v>46</v>
      </c>
      <c r="G75" s="22"/>
      <c r="H75" s="22"/>
      <c r="I75" s="22"/>
      <c r="J75" s="22"/>
      <c r="K75" s="22"/>
    </row>
    <row r="76" spans="1:1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 spans="1:11" x14ac:dyDescent="0.3">
      <c r="A77" s="22"/>
      <c r="B77" s="22"/>
      <c r="C77" s="27" t="s">
        <v>0</v>
      </c>
      <c r="D77" s="27" t="s">
        <v>12</v>
      </c>
      <c r="E77" s="27" t="s">
        <v>14</v>
      </c>
      <c r="F77" s="27" t="s">
        <v>1</v>
      </c>
      <c r="G77" s="27" t="s">
        <v>40</v>
      </c>
      <c r="H77" s="22"/>
      <c r="I77" s="22"/>
      <c r="J77" s="22"/>
      <c r="K77" s="22"/>
    </row>
    <row r="78" spans="1:11" x14ac:dyDescent="0.3">
      <c r="A78" s="22"/>
      <c r="B78" s="22"/>
      <c r="C78" s="27" t="s">
        <v>2</v>
      </c>
      <c r="D78" s="27">
        <f t="shared" ref="D78:D86" si="6">C21</f>
        <v>360</v>
      </c>
      <c r="E78" s="27">
        <f t="shared" ref="E78:E86" si="7">F21</f>
        <v>0</v>
      </c>
      <c r="F78" s="27">
        <f>SUM(D78:E78)</f>
        <v>360</v>
      </c>
      <c r="G78" s="27">
        <v>360</v>
      </c>
      <c r="H78" s="22"/>
      <c r="I78" s="22"/>
      <c r="J78" s="22"/>
      <c r="K78" s="22"/>
    </row>
    <row r="79" spans="1:11" x14ac:dyDescent="0.3">
      <c r="A79" s="22"/>
      <c r="B79" s="22"/>
      <c r="C79" s="27" t="s">
        <v>3</v>
      </c>
      <c r="D79" s="27">
        <f t="shared" si="6"/>
        <v>99240</v>
      </c>
      <c r="E79" s="27">
        <f t="shared" si="7"/>
        <v>0</v>
      </c>
      <c r="F79" s="27">
        <f t="shared" ref="F79:F86" si="8">SUM(D79:E79)</f>
        <v>99240</v>
      </c>
      <c r="G79" s="27">
        <v>360</v>
      </c>
      <c r="H79" s="22"/>
      <c r="I79" s="22"/>
      <c r="J79" s="22"/>
      <c r="K79" s="22"/>
    </row>
    <row r="80" spans="1:11" x14ac:dyDescent="0.3">
      <c r="A80" s="22"/>
      <c r="B80" s="22"/>
      <c r="C80" s="27" t="s">
        <v>4</v>
      </c>
      <c r="D80" s="27">
        <f t="shared" si="6"/>
        <v>0</v>
      </c>
      <c r="E80" s="27">
        <f t="shared" si="7"/>
        <v>360</v>
      </c>
      <c r="F80" s="27">
        <f t="shared" si="8"/>
        <v>360</v>
      </c>
      <c r="G80" s="27">
        <v>360</v>
      </c>
      <c r="H80" s="22"/>
      <c r="I80" s="22"/>
      <c r="J80" s="22"/>
      <c r="K80" s="22"/>
    </row>
    <row r="81" spans="1:11" x14ac:dyDescent="0.3">
      <c r="A81" s="22"/>
      <c r="B81" s="22"/>
      <c r="C81" s="27" t="s">
        <v>5</v>
      </c>
      <c r="D81" s="27">
        <f t="shared" si="6"/>
        <v>360</v>
      </c>
      <c r="E81" s="27">
        <f t="shared" si="7"/>
        <v>0</v>
      </c>
      <c r="F81" s="27">
        <f t="shared" si="8"/>
        <v>360</v>
      </c>
      <c r="G81" s="27">
        <v>360</v>
      </c>
      <c r="H81" s="22"/>
      <c r="I81" s="22"/>
      <c r="J81" s="22"/>
      <c r="K81" s="22"/>
    </row>
    <row r="82" spans="1:11" x14ac:dyDescent="0.3">
      <c r="A82" s="22"/>
      <c r="B82" s="22"/>
      <c r="C82" s="27" t="s">
        <v>6</v>
      </c>
      <c r="D82" s="27">
        <f t="shared" si="6"/>
        <v>0</v>
      </c>
      <c r="E82" s="27">
        <f t="shared" si="7"/>
        <v>124140</v>
      </c>
      <c r="F82" s="27">
        <f t="shared" si="8"/>
        <v>124140</v>
      </c>
      <c r="G82" s="27">
        <v>360</v>
      </c>
      <c r="H82" s="22"/>
      <c r="I82" s="22"/>
      <c r="J82" s="22"/>
      <c r="K82" s="22"/>
    </row>
    <row r="83" spans="1:11" x14ac:dyDescent="0.3">
      <c r="A83" s="22"/>
      <c r="B83" s="22"/>
      <c r="C83" s="27" t="s">
        <v>7</v>
      </c>
      <c r="D83" s="27">
        <f t="shared" si="6"/>
        <v>0</v>
      </c>
      <c r="E83" s="27">
        <f t="shared" si="7"/>
        <v>360</v>
      </c>
      <c r="F83" s="27">
        <f t="shared" si="8"/>
        <v>360</v>
      </c>
      <c r="G83" s="27">
        <v>360</v>
      </c>
      <c r="H83" s="22"/>
      <c r="I83" s="22"/>
      <c r="J83" s="22"/>
      <c r="K83" s="22"/>
    </row>
    <row r="84" spans="1:11" x14ac:dyDescent="0.3">
      <c r="A84" s="22"/>
      <c r="B84" s="22"/>
      <c r="C84" s="27" t="s">
        <v>8</v>
      </c>
      <c r="D84" s="27">
        <f t="shared" si="6"/>
        <v>0</v>
      </c>
      <c r="E84" s="27">
        <f t="shared" si="7"/>
        <v>360</v>
      </c>
      <c r="F84" s="27">
        <f t="shared" si="8"/>
        <v>360</v>
      </c>
      <c r="G84" s="27">
        <v>360</v>
      </c>
      <c r="H84" s="22"/>
      <c r="I84" s="22"/>
      <c r="J84" s="22"/>
      <c r="K84" s="22"/>
    </row>
    <row r="85" spans="1:11" x14ac:dyDescent="0.3">
      <c r="A85" s="22"/>
      <c r="B85" s="22"/>
      <c r="C85" s="27" t="s">
        <v>9</v>
      </c>
      <c r="D85" s="27">
        <f t="shared" si="6"/>
        <v>20040.000000000007</v>
      </c>
      <c r="E85" s="27">
        <f t="shared" si="7"/>
        <v>0</v>
      </c>
      <c r="F85" s="27">
        <f t="shared" si="8"/>
        <v>20040.000000000007</v>
      </c>
      <c r="G85" s="27">
        <v>360</v>
      </c>
      <c r="H85" s="22"/>
      <c r="I85" s="22"/>
      <c r="J85" s="22"/>
      <c r="K85" s="22"/>
    </row>
    <row r="86" spans="1:11" x14ac:dyDescent="0.3">
      <c r="A86" s="22"/>
      <c r="B86" s="22"/>
      <c r="C86" s="27" t="s">
        <v>10</v>
      </c>
      <c r="D86" s="27">
        <f t="shared" si="6"/>
        <v>0</v>
      </c>
      <c r="E86" s="27">
        <f t="shared" si="7"/>
        <v>24779.999999999993</v>
      </c>
      <c r="F86" s="27">
        <f t="shared" si="8"/>
        <v>24779.999999999993</v>
      </c>
      <c r="G86" s="27">
        <v>360</v>
      </c>
      <c r="H86" s="22"/>
      <c r="I86" s="22"/>
      <c r="J86" s="22"/>
      <c r="K86" s="22"/>
    </row>
    <row r="87" spans="1:1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</row>
    <row r="88" spans="1:11" x14ac:dyDescent="0.3">
      <c r="A88" s="22"/>
      <c r="B88" s="30" t="s">
        <v>47</v>
      </c>
      <c r="C88" s="22"/>
      <c r="D88" s="22"/>
      <c r="E88" s="22"/>
      <c r="F88" s="22"/>
      <c r="G88" s="22"/>
      <c r="H88" s="22"/>
      <c r="I88" s="22"/>
      <c r="J88" s="22"/>
      <c r="K88" s="22"/>
    </row>
    <row r="89" spans="1:11" x14ac:dyDescent="0.3">
      <c r="A89" s="22"/>
      <c r="B89" s="22" t="s">
        <v>48</v>
      </c>
      <c r="C89" s="22"/>
      <c r="D89" s="22"/>
      <c r="E89" s="22"/>
      <c r="F89" s="22"/>
      <c r="G89" s="22"/>
      <c r="H89" s="22"/>
      <c r="I89" s="22"/>
      <c r="J89" s="22"/>
      <c r="K89" s="22"/>
    </row>
    <row r="90" spans="1:1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 spans="1:11" x14ac:dyDescent="0.3">
      <c r="A91" s="22"/>
      <c r="B91" s="22"/>
      <c r="C91" s="27"/>
      <c r="D91" s="27" t="s">
        <v>36</v>
      </c>
      <c r="E91" s="27">
        <v>2025</v>
      </c>
      <c r="F91" s="22"/>
      <c r="G91" s="22"/>
      <c r="H91" s="22"/>
      <c r="I91" s="22"/>
      <c r="J91" s="22"/>
      <c r="K91" s="22"/>
    </row>
    <row r="92" spans="1:11" x14ac:dyDescent="0.3">
      <c r="A92" s="22"/>
      <c r="B92" s="22"/>
      <c r="C92" s="27" t="s">
        <v>49</v>
      </c>
      <c r="D92" s="27">
        <f>SUM(C21:C29)</f>
        <v>120000</v>
      </c>
      <c r="E92" s="29">
        <v>120000</v>
      </c>
      <c r="F92" s="22"/>
      <c r="G92" s="22"/>
      <c r="H92" s="22"/>
      <c r="I92" s="22"/>
      <c r="J92" s="22"/>
      <c r="K92" s="22"/>
    </row>
    <row r="93" spans="1:11" x14ac:dyDescent="0.3">
      <c r="A93" s="22"/>
      <c r="B93" s="22"/>
      <c r="C93" s="27" t="s">
        <v>50</v>
      </c>
      <c r="D93" s="27">
        <f>SUM(F21:F29)</f>
        <v>150000</v>
      </c>
      <c r="E93" s="29">
        <v>150000</v>
      </c>
      <c r="F93" s="22"/>
      <c r="G93" s="22"/>
      <c r="H93" s="22"/>
      <c r="I93" s="22"/>
      <c r="J93" s="22"/>
      <c r="K93" s="22"/>
    </row>
    <row r="94" spans="1:1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 spans="1:11" x14ac:dyDescent="0.3">
      <c r="A95" s="22"/>
      <c r="B95" s="30" t="s">
        <v>51</v>
      </c>
      <c r="C95" s="22"/>
      <c r="D95" s="22"/>
      <c r="E95" s="22"/>
      <c r="F95" s="22"/>
      <c r="G95" s="22"/>
      <c r="H95" s="22"/>
      <c r="I95" s="22"/>
      <c r="J95" s="22"/>
      <c r="K95" s="22"/>
    </row>
    <row r="96" spans="1:11" x14ac:dyDescent="0.3">
      <c r="A96" s="22"/>
      <c r="B96" s="22" t="s">
        <v>52</v>
      </c>
      <c r="C96" s="22"/>
      <c r="D96" s="22"/>
      <c r="E96" s="22"/>
      <c r="F96" s="22"/>
      <c r="G96" s="22"/>
      <c r="H96" s="22"/>
      <c r="I96" s="22"/>
      <c r="J96" s="22"/>
      <c r="K96" s="22"/>
    </row>
    <row r="97" spans="1:1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</row>
    <row r="98" spans="1:1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</row>
    <row r="99" spans="1:11" x14ac:dyDescent="0.3">
      <c r="A99" s="22"/>
      <c r="B99" s="22"/>
    </row>
  </sheetData>
  <mergeCells count="7">
    <mergeCell ref="I19:J19"/>
    <mergeCell ref="D2:E2"/>
    <mergeCell ref="I5:J5"/>
    <mergeCell ref="C4:E4"/>
    <mergeCell ref="F4:G4"/>
    <mergeCell ref="C19:E19"/>
    <mergeCell ref="F19:G19"/>
  </mergeCells>
  <conditionalFormatting sqref="D31:G32">
    <cfRule type="cellIs" dxfId="1" priority="1" operator="lessThan">
      <formula>0</formula>
    </cfRule>
  </conditionalFormatting>
  <conditionalFormatting sqref="F51:F56">
    <cfRule type="cellIs" dxfId="0" priority="4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FF0830-72DB-4710-A6A8-DD67B011D5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3PL_in_percentage</vt:lpstr>
      <vt:lpstr>3PL_performance</vt:lpstr>
      <vt:lpstr>Optimial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2026-03-10T10:11:50Z</dcterms:created>
  <dcterms:modified xsi:type="dcterms:W3CDTF">2026-03-12T06:40:13Z</dcterms:modified>
</cp:coreProperties>
</file>